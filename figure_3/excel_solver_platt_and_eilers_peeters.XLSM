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queryTables/queryTable6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queryTables/queryTable9.xml" ContentType="application/vnd.openxmlformats-officedocument.spreadsheetml.queryTab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queryTables/queryTable12.xml" ContentType="application/vnd.openxmlformats-officedocument.spreadsheetml.queryTab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queryTables/queryTable13.xml" ContentType="application/vnd.openxmlformats-officedocument.spreadsheetml.queryTable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4.xml" ContentType="application/vnd.openxmlformats-officedocument.drawing+xml"/>
  <Override PartName="/xl/queryTables/queryTable14.xml" ContentType="application/vnd.openxmlformats-officedocument.spreadsheetml.queryTab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5.xml" ContentType="application/vnd.openxmlformats-officedocument.drawing+xml"/>
  <Override PartName="/xl/queryTables/queryTable15.xml" ContentType="application/vnd.openxmlformats-officedocument.spreadsheetml.queryTable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6.xml" ContentType="application/vnd.openxmlformats-officedocument.drawing+xml"/>
  <Override PartName="/xl/queryTables/queryTable16.xml" ContentType="application/vnd.openxmlformats-officedocument.spreadsheetml.queryTab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7.xml" ContentType="application/vnd.openxmlformats-officedocument.drawing+xml"/>
  <Override PartName="/xl/queryTables/queryTable17.xml" ContentType="application/vnd.openxmlformats-officedocument.spreadsheetml.queryTab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8.xml" ContentType="application/vnd.openxmlformats-officedocument.drawing+xml"/>
  <Override PartName="/xl/queryTables/queryTable18.xml" ContentType="application/vnd.openxmlformats-officedocument.spreadsheetml.queryTable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9.xml" ContentType="application/vnd.openxmlformats-officedocument.drawing+xml"/>
  <Override PartName="/xl/queryTables/queryTable19.xml" ContentType="application/vnd.openxmlformats-officedocument.spreadsheetml.queryTable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20.xml" ContentType="application/vnd.openxmlformats-officedocument.drawing+xml"/>
  <Override PartName="/xl/queryTables/queryTable20.xml" ContentType="application/vnd.openxmlformats-officedocument.spreadsheetml.queryTable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1.xml" ContentType="application/vnd.openxmlformats-officedocument.drawing+xml"/>
  <Override PartName="/xl/queryTables/queryTable21.xml" ContentType="application/vnd.openxmlformats-officedocument.spreadsheetml.queryTable+xml"/>
  <Override PartName="/xl/comments1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908d298840238dfa/Documents/Wissenschaftl. Mitarbeiter/Aquatische Ökologie/BSP_Paper_PAM/PAM_vergleich_excel_platt_excel/"/>
    </mc:Choice>
  </mc:AlternateContent>
  <xr:revisionPtr revIDLastSave="4568" documentId="13_ncr:1_{AE140631-E164-4FBC-9AE5-422451C41C7C}" xr6:coauthVersionLast="47" xr6:coauthVersionMax="47" xr10:uidLastSave="{0BACCBA9-A941-4359-B86C-2260167CA1C2}"/>
  <bookViews>
    <workbookView xWindow="-28920" yWindow="-120" windowWidth="29040" windowHeight="15720" tabRatio="808" xr2:uid="{00000000-000D-0000-FFFF-FFFF00000000}"/>
  </bookViews>
  <sheets>
    <sheet name="20260129_01_mais.csv" sheetId="22" r:id="rId1"/>
    <sheet name="20260129_02_ackerbohne.csv" sheetId="39" r:id="rId2"/>
    <sheet name="20260129_03_weizen.csv" sheetId="40" r:id="rId3"/>
    <sheet name="20260129_04_weizen.csv" sheetId="41" r:id="rId4"/>
    <sheet name="20260129_05_ackerbohne.csv" sheetId="42" r:id="rId5"/>
    <sheet name="20260130_02_weizen.csv" sheetId="43" r:id="rId6"/>
    <sheet name="20260130_03_mais.csv" sheetId="44" r:id="rId7"/>
    <sheet name="20260130_04_efeutute.csv" sheetId="45" r:id="rId8"/>
    <sheet name="20260130_05_ackerbohne.csv" sheetId="46" r:id="rId9"/>
    <sheet name="20260201_01_tomate.csv" sheetId="47" r:id="rId10"/>
    <sheet name="20260201_02_weizen.csv" sheetId="48" r:id="rId11"/>
    <sheet name="20260201_03_mais.csv" sheetId="49" r:id="rId12"/>
    <sheet name="20260201_05_mais.csv" sheetId="50" r:id="rId13"/>
    <sheet name="20260201_06_tomate.csv" sheetId="51" r:id="rId14"/>
    <sheet name="20260201_07_tomate.csv" sheetId="52" r:id="rId15"/>
    <sheet name="20260201_08_tomate.csv" sheetId="53" r:id="rId16"/>
    <sheet name="20260201_09_tomate.csv" sheetId="54" r:id="rId17"/>
    <sheet name="20260201_10_tomate.csv" sheetId="55" r:id="rId18"/>
    <sheet name="20260201_13_tomate.csv" sheetId="56" r:id="rId19"/>
    <sheet name="20260201_mais.csv" sheetId="57" r:id="rId20"/>
    <sheet name="20231123_02.csv (9)" sheetId="30" state="hidden" r:id="rId21"/>
  </sheets>
  <definedNames>
    <definedName name="F2B1DKLK2" localSheetId="20">'20231123_02.csv (9)'!$A$1:$AB$12</definedName>
    <definedName name="F2B1DKLK2" localSheetId="0">'20260129_01_mais.csv'!$A$1:$D$12</definedName>
    <definedName name="F2B1DKLK2" localSheetId="1">'20260129_02_ackerbohne.csv'!$A$1:$D$12</definedName>
    <definedName name="F2B1DKLK2" localSheetId="2">'20260129_03_weizen.csv'!$A$1:$D$12</definedName>
    <definedName name="F2B1DKLK2" localSheetId="3">'20260129_04_weizen.csv'!$A$1:$D$12</definedName>
    <definedName name="F2B1DKLK2" localSheetId="4">'20260129_05_ackerbohne.csv'!$A$1:$D$12</definedName>
    <definedName name="F2B1DKLK2" localSheetId="5">'20260130_02_weizen.csv'!$A$1:$D$12</definedName>
    <definedName name="F2B1DKLK2" localSheetId="6">'20260130_03_mais.csv'!$A$1:$D$12</definedName>
    <definedName name="F2B1DKLK2" localSheetId="7">'20260130_04_efeutute.csv'!$A$1:$D$12</definedName>
    <definedName name="F2B1DKLK2" localSheetId="8">'20260130_05_ackerbohne.csv'!$A$1:$D$12</definedName>
    <definedName name="F2B1DKLK2" localSheetId="9">'20260201_01_tomate.csv'!$A$1:$D$12</definedName>
    <definedName name="F2B1DKLK2" localSheetId="10">'20260201_02_weizen.csv'!$A$1:$D$12</definedName>
    <definedName name="F2B1DKLK2" localSheetId="11">'20260201_03_mais.csv'!$A$1:$D$12</definedName>
    <definedName name="F2B1DKLK2" localSheetId="12">'20260201_05_mais.csv'!$A$1:$D$12</definedName>
    <definedName name="F2B1DKLK2" localSheetId="13">'20260201_06_tomate.csv'!$A$1:$D$12</definedName>
    <definedName name="F2B1DKLK2" localSheetId="14">'20260201_07_tomate.csv'!$A$1:$D$12</definedName>
    <definedName name="F2B1DKLK2" localSheetId="15">'20260201_08_tomate.csv'!$A$1:$D$12</definedName>
    <definedName name="F2B1DKLK2" localSheetId="16">'20260201_09_tomate.csv'!$A$1:$D$12</definedName>
    <definedName name="F2B1DKLK2" localSheetId="17">'20260201_10_tomate.csv'!$A$1:$D$12</definedName>
    <definedName name="F2B1DKLK2" localSheetId="18">'20260201_13_tomate.csv'!$A$1:$D$12</definedName>
    <definedName name="F2B1DKLK2" localSheetId="19">'20260201_mais.csv'!$A$1:$D$12</definedName>
    <definedName name="solver_adj" localSheetId="20" hidden="1">'20231123_02.csv (9)'!$BA$25:$BA$27</definedName>
    <definedName name="solver_adj" localSheetId="0" hidden="1">'20260129_01_mais.csv'!$L$7:$L$9</definedName>
    <definedName name="solver_adj" localSheetId="1" hidden="1">'20260129_02_ackerbohne.csv'!$L$25:$L$27</definedName>
    <definedName name="solver_adj" localSheetId="2" hidden="1">'20260129_03_weizen.csv'!$L$7:$L$9</definedName>
    <definedName name="solver_adj" localSheetId="3" hidden="1">'20260129_04_weizen.csv'!$L$7:$L$9</definedName>
    <definedName name="solver_adj" localSheetId="4" hidden="1">'20260129_05_ackerbohne.csv'!$L$7:$L$9</definedName>
    <definedName name="solver_adj" localSheetId="5" hidden="1">'20260130_02_weizen.csv'!$L$7:$L$9</definedName>
    <definedName name="solver_adj" localSheetId="6" hidden="1">'20260130_03_mais.csv'!$L$7:$L$9</definedName>
    <definedName name="solver_adj" localSheetId="7" hidden="1">'20260130_04_efeutute.csv'!$L$7:$L$9</definedName>
    <definedName name="solver_adj" localSheetId="8" hidden="1">'20260130_05_ackerbohne.csv'!$L$7:$L$9</definedName>
    <definedName name="solver_adj" localSheetId="9" hidden="1">'20260201_01_tomate.csv'!$L$7:$L$9</definedName>
    <definedName name="solver_adj" localSheetId="10" hidden="1">'20260201_02_weizen.csv'!$L$7:$L$9</definedName>
    <definedName name="solver_adj" localSheetId="11" hidden="1">'20260201_03_mais.csv'!$L$7:$L$9</definedName>
    <definedName name="solver_adj" localSheetId="12" hidden="1">'20260201_05_mais.csv'!$L$7:$L$9</definedName>
    <definedName name="solver_adj" localSheetId="13" hidden="1">'20260201_06_tomate.csv'!$L$7:$L$9</definedName>
    <definedName name="solver_adj" localSheetId="14" hidden="1">'20260201_07_tomate.csv'!$L$7:$L$9</definedName>
    <definedName name="solver_adj" localSheetId="15" hidden="1">'20260201_08_tomate.csv'!$L$7:$L$9</definedName>
    <definedName name="solver_adj" localSheetId="16" hidden="1">'20260201_09_tomate.csv'!$L$7:$L$9</definedName>
    <definedName name="solver_adj" localSheetId="17" hidden="1">'20260201_10_tomate.csv'!$L$7:$L$9</definedName>
    <definedName name="solver_adj" localSheetId="18" hidden="1">'20260201_13_tomate.csv'!$L$7:$L$9</definedName>
    <definedName name="solver_adj" localSheetId="19" hidden="1">'20260201_mais.csv'!$L$7:$L$9</definedName>
    <definedName name="solver_cvg" localSheetId="20" hidden="1">0.000000001</definedName>
    <definedName name="solver_cvg" localSheetId="0" hidden="1">0.000000001</definedName>
    <definedName name="solver_cvg" localSheetId="1" hidden="1">0.000000001</definedName>
    <definedName name="solver_cvg" localSheetId="2" hidden="1">0.000000001</definedName>
    <definedName name="solver_cvg" localSheetId="3" hidden="1">0.000000001</definedName>
    <definedName name="solver_cvg" localSheetId="4" hidden="1">0.000000001</definedName>
    <definedName name="solver_cvg" localSheetId="5" hidden="1">0.000000001</definedName>
    <definedName name="solver_cvg" localSheetId="6" hidden="1">0.000000001</definedName>
    <definedName name="solver_cvg" localSheetId="7" hidden="1">0.000000001</definedName>
    <definedName name="solver_cvg" localSheetId="8" hidden="1">0.000000001</definedName>
    <definedName name="solver_cvg" localSheetId="9" hidden="1">0.000000001</definedName>
    <definedName name="solver_cvg" localSheetId="10" hidden="1">0.000000001</definedName>
    <definedName name="solver_cvg" localSheetId="11" hidden="1">0.000000001</definedName>
    <definedName name="solver_cvg" localSheetId="12" hidden="1">0.000000001</definedName>
    <definedName name="solver_cvg" localSheetId="13" hidden="1">0.000000001</definedName>
    <definedName name="solver_cvg" localSheetId="14" hidden="1">0.000000001</definedName>
    <definedName name="solver_cvg" localSheetId="15" hidden="1">0.000000001</definedName>
    <definedName name="solver_cvg" localSheetId="16" hidden="1">0.000000001</definedName>
    <definedName name="solver_cvg" localSheetId="17" hidden="1">0.000000001</definedName>
    <definedName name="solver_cvg" localSheetId="18" hidden="1">0.000000001</definedName>
    <definedName name="solver_cvg" localSheetId="19" hidden="1">0.000000001</definedName>
    <definedName name="solver_drv" localSheetId="20" hidden="1">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18" hidden="1">1</definedName>
    <definedName name="solver_drv" localSheetId="19" hidden="1">1</definedName>
    <definedName name="solver_eng" localSheetId="20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13" hidden="1">1</definedName>
    <definedName name="solver_eng" localSheetId="14" hidden="1">1</definedName>
    <definedName name="solver_eng" localSheetId="15" hidden="1">1</definedName>
    <definedName name="solver_eng" localSheetId="16" hidden="1">1</definedName>
    <definedName name="solver_eng" localSheetId="17" hidden="1">1</definedName>
    <definedName name="solver_eng" localSheetId="18" hidden="1">1</definedName>
    <definedName name="solver_eng" localSheetId="19" hidden="1">1</definedName>
    <definedName name="solver_est" localSheetId="20" hidden="1">1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itr" localSheetId="20" hidden="1">10000</definedName>
    <definedName name="solver_itr" localSheetId="0" hidden="1">10000</definedName>
    <definedName name="solver_itr" localSheetId="1" hidden="1">10000</definedName>
    <definedName name="solver_itr" localSheetId="2" hidden="1">10000</definedName>
    <definedName name="solver_itr" localSheetId="3" hidden="1">10000</definedName>
    <definedName name="solver_itr" localSheetId="4" hidden="1">10000</definedName>
    <definedName name="solver_itr" localSheetId="5" hidden="1">10000</definedName>
    <definedName name="solver_itr" localSheetId="6" hidden="1">10000</definedName>
    <definedName name="solver_itr" localSheetId="7" hidden="1">10000</definedName>
    <definedName name="solver_itr" localSheetId="8" hidden="1">10000</definedName>
    <definedName name="solver_itr" localSheetId="9" hidden="1">10000</definedName>
    <definedName name="solver_itr" localSheetId="10" hidden="1">10000</definedName>
    <definedName name="solver_itr" localSheetId="11" hidden="1">10000</definedName>
    <definedName name="solver_itr" localSheetId="12" hidden="1">10000</definedName>
    <definedName name="solver_itr" localSheetId="13" hidden="1">10000</definedName>
    <definedName name="solver_itr" localSheetId="14" hidden="1">10000</definedName>
    <definedName name="solver_itr" localSheetId="15" hidden="1">10000</definedName>
    <definedName name="solver_itr" localSheetId="16" hidden="1">10000</definedName>
    <definedName name="solver_itr" localSheetId="17" hidden="1">10000</definedName>
    <definedName name="solver_itr" localSheetId="18" hidden="1">10000</definedName>
    <definedName name="solver_itr" localSheetId="19" hidden="1">10000</definedName>
    <definedName name="solver_lhs1" localSheetId="20" hidden="1">'20231123_02.csv (9)'!$AT$63</definedName>
    <definedName name="solver_lhs1" localSheetId="0" hidden="1">'20260129_01_mais.csv'!#REF!</definedName>
    <definedName name="solver_lhs1" localSheetId="1" hidden="1">'20260129_02_ackerbohne.csv'!#REF!</definedName>
    <definedName name="solver_lhs1" localSheetId="2" hidden="1">'20260129_03_weizen.csv'!#REF!</definedName>
    <definedName name="solver_lhs1" localSheetId="3" hidden="1">'20260129_04_weizen.csv'!#REF!</definedName>
    <definedName name="solver_lhs1" localSheetId="4" hidden="1">'20260129_05_ackerbohne.csv'!#REF!</definedName>
    <definedName name="solver_lhs1" localSheetId="5" hidden="1">'20260130_02_weizen.csv'!#REF!</definedName>
    <definedName name="solver_lhs1" localSheetId="6" hidden="1">'20260130_03_mais.csv'!#REF!</definedName>
    <definedName name="solver_lhs1" localSheetId="7" hidden="1">'20260130_04_efeutute.csv'!#REF!</definedName>
    <definedName name="solver_lhs1" localSheetId="8" hidden="1">'20260130_05_ackerbohne.csv'!#REF!</definedName>
    <definedName name="solver_lhs1" localSheetId="9" hidden="1">'20260201_01_tomate.csv'!#REF!</definedName>
    <definedName name="solver_lhs1" localSheetId="10" hidden="1">'20260201_02_weizen.csv'!#REF!</definedName>
    <definedName name="solver_lhs1" localSheetId="11" hidden="1">'20260201_03_mais.csv'!#REF!</definedName>
    <definedName name="solver_lhs1" localSheetId="12" hidden="1">'20260201_05_mais.csv'!#REF!</definedName>
    <definedName name="solver_lhs1" localSheetId="13" hidden="1">'20260201_06_tomate.csv'!#REF!</definedName>
    <definedName name="solver_lhs1" localSheetId="14" hidden="1">'20260201_07_tomate.csv'!#REF!</definedName>
    <definedName name="solver_lhs1" localSheetId="15" hidden="1">'20260201_08_tomate.csv'!#REF!</definedName>
    <definedName name="solver_lhs1" localSheetId="16" hidden="1">'20260201_09_tomate.csv'!#REF!</definedName>
    <definedName name="solver_lhs1" localSheetId="17" hidden="1">'20260201_10_tomate.csv'!#REF!</definedName>
    <definedName name="solver_lhs1" localSheetId="18" hidden="1">'20260201_13_tomate.csv'!#REF!</definedName>
    <definedName name="solver_lhs1" localSheetId="19" hidden="1">'20260201_mais.csv'!#REF!</definedName>
    <definedName name="solver_lhs2" localSheetId="20" hidden="1">'20231123_02.csv (9)'!$BE$46</definedName>
    <definedName name="solver_lhs2" localSheetId="0" hidden="1">'20260129_01_mais.csv'!$P$46</definedName>
    <definedName name="solver_lhs2" localSheetId="1" hidden="1">'20260129_02_ackerbohne.csv'!$P$46</definedName>
    <definedName name="solver_lhs2" localSheetId="2" hidden="1">'20260129_03_weizen.csv'!$P$46</definedName>
    <definedName name="solver_lhs2" localSheetId="3" hidden="1">'20260129_04_weizen.csv'!$P$46</definedName>
    <definedName name="solver_lhs2" localSheetId="4" hidden="1">'20260129_05_ackerbohne.csv'!$P$46</definedName>
    <definedName name="solver_lhs2" localSheetId="5" hidden="1">'20260130_02_weizen.csv'!$P$46</definedName>
    <definedName name="solver_lhs2" localSheetId="6" hidden="1">'20260130_03_mais.csv'!$P$46</definedName>
    <definedName name="solver_lhs2" localSheetId="7" hidden="1">'20260130_04_efeutute.csv'!$P$46</definedName>
    <definedName name="solver_lhs2" localSheetId="8" hidden="1">'20260130_05_ackerbohne.csv'!$P$46</definedName>
    <definedName name="solver_lhs2" localSheetId="9" hidden="1">'20260201_01_tomate.csv'!$P$46</definedName>
    <definedName name="solver_lhs2" localSheetId="10" hidden="1">'20260201_02_weizen.csv'!$P$46</definedName>
    <definedName name="solver_lhs2" localSheetId="11" hidden="1">'20260201_03_mais.csv'!$P$46</definedName>
    <definedName name="solver_lhs2" localSheetId="12" hidden="1">'20260201_05_mais.csv'!$P$46</definedName>
    <definedName name="solver_lhs2" localSheetId="13" hidden="1">'20260201_06_tomate.csv'!$P$46</definedName>
    <definedName name="solver_lhs2" localSheetId="14" hidden="1">'20260201_07_tomate.csv'!$P$46</definedName>
    <definedName name="solver_lhs2" localSheetId="15" hidden="1">'20260201_08_tomate.csv'!$P$46</definedName>
    <definedName name="solver_lhs2" localSheetId="16" hidden="1">'20260201_09_tomate.csv'!$P$46</definedName>
    <definedName name="solver_lhs2" localSheetId="17" hidden="1">'20260201_10_tomate.csv'!$P$46</definedName>
    <definedName name="solver_lhs2" localSheetId="18" hidden="1">'20260201_13_tomate.csv'!$P$46</definedName>
    <definedName name="solver_lhs2" localSheetId="19" hidden="1">'20260201_mais.csv'!$P$46</definedName>
    <definedName name="solver_lin" localSheetId="20" hidden="1">2</definedName>
    <definedName name="solver_lin" localSheetId="0" hidden="1">2</definedName>
    <definedName name="solver_lin" localSheetId="1" hidden="1">2</definedName>
    <definedName name="solver_lin" localSheetId="2" hidden="1">2</definedName>
    <definedName name="solver_lin" localSheetId="3" hidden="1">2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lin" localSheetId="9" hidden="1">2</definedName>
    <definedName name="solver_lin" localSheetId="10" hidden="1">2</definedName>
    <definedName name="solver_lin" localSheetId="11" hidden="1">2</definedName>
    <definedName name="solver_lin" localSheetId="12" hidden="1">2</definedName>
    <definedName name="solver_lin" localSheetId="13" hidden="1">2</definedName>
    <definedName name="solver_lin" localSheetId="14" hidden="1">2</definedName>
    <definedName name="solver_lin" localSheetId="15" hidden="1">2</definedName>
    <definedName name="solver_lin" localSheetId="16" hidden="1">2</definedName>
    <definedName name="solver_lin" localSheetId="17" hidden="1">2</definedName>
    <definedName name="solver_lin" localSheetId="18" hidden="1">2</definedName>
    <definedName name="solver_lin" localSheetId="19" hidden="1">2</definedName>
    <definedName name="solver_mip" localSheetId="20" hidden="1">2147483647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13" hidden="1">2147483647</definedName>
    <definedName name="solver_mip" localSheetId="14" hidden="1">2147483647</definedName>
    <definedName name="solver_mip" localSheetId="15" hidden="1">2147483647</definedName>
    <definedName name="solver_mip" localSheetId="16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ni" localSheetId="20" hidden="1">30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13" hidden="1">30</definedName>
    <definedName name="solver_mni" localSheetId="14" hidden="1">30</definedName>
    <definedName name="solver_mni" localSheetId="15" hidden="1">30</definedName>
    <definedName name="solver_mni" localSheetId="16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rt" localSheetId="20" hidden="1">0.075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13" hidden="1">0.075</definedName>
    <definedName name="solver_mrt" localSheetId="14" hidden="1">0.075</definedName>
    <definedName name="solver_mrt" localSheetId="15" hidden="1">0.075</definedName>
    <definedName name="solver_mrt" localSheetId="16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sl" localSheetId="20" hidden="1">2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13" hidden="1">2</definedName>
    <definedName name="solver_msl" localSheetId="14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neg" localSheetId="20" hidden="1">2</definedName>
    <definedName name="solver_neg" localSheetId="0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9" hidden="1">2</definedName>
    <definedName name="solver_neg" localSheetId="10" hidden="1">2</definedName>
    <definedName name="solver_neg" localSheetId="11" hidden="1">2</definedName>
    <definedName name="solver_neg" localSheetId="12" hidden="1">2</definedName>
    <definedName name="solver_neg" localSheetId="13" hidden="1">2</definedName>
    <definedName name="solver_neg" localSheetId="14" hidden="1">2</definedName>
    <definedName name="solver_neg" localSheetId="15" hidden="1">2</definedName>
    <definedName name="solver_neg" localSheetId="16" hidden="1">2</definedName>
    <definedName name="solver_neg" localSheetId="17" hidden="1">2</definedName>
    <definedName name="solver_neg" localSheetId="18" hidden="1">2</definedName>
    <definedName name="solver_neg" localSheetId="19" hidden="1">2</definedName>
    <definedName name="solver_nod" localSheetId="20" hidden="1">2147483647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13" hidden="1">2147483647</definedName>
    <definedName name="solver_nod" localSheetId="14" hidden="1">2147483647</definedName>
    <definedName name="solver_nod" localSheetId="15" hidden="1">2147483647</definedName>
    <definedName name="solver_nod" localSheetId="16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um" localSheetId="20" hidden="1">1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wt" localSheetId="20" hidden="1">1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opt" localSheetId="20" hidden="1">'20231123_02.csv (9)'!$BA$29</definedName>
    <definedName name="solver_opt" localSheetId="0" hidden="1">'20260129_01_mais.csv'!$L$11</definedName>
    <definedName name="solver_opt" localSheetId="1" hidden="1">'20260129_02_ackerbohne.csv'!$L$29</definedName>
    <definedName name="solver_opt" localSheetId="2" hidden="1">'20260129_03_weizen.csv'!$L$11</definedName>
    <definedName name="solver_opt" localSheetId="3" hidden="1">'20260129_04_weizen.csv'!$L$11</definedName>
    <definedName name="solver_opt" localSheetId="4" hidden="1">'20260129_05_ackerbohne.csv'!$L$11</definedName>
    <definedName name="solver_opt" localSheetId="5" hidden="1">'20260130_02_weizen.csv'!$L$11</definedName>
    <definedName name="solver_opt" localSheetId="6" hidden="1">'20260130_03_mais.csv'!$L$11</definedName>
    <definedName name="solver_opt" localSheetId="7" hidden="1">'20260130_04_efeutute.csv'!$L$11</definedName>
    <definedName name="solver_opt" localSheetId="8" hidden="1">'20260130_05_ackerbohne.csv'!$L$11</definedName>
    <definedName name="solver_opt" localSheetId="9" hidden="1">'20260201_01_tomate.csv'!$L$11</definedName>
    <definedName name="solver_opt" localSheetId="10" hidden="1">'20260201_02_weizen.csv'!$L$11</definedName>
    <definedName name="solver_opt" localSheetId="11" hidden="1">'20260201_03_mais.csv'!$L$11</definedName>
    <definedName name="solver_opt" localSheetId="12" hidden="1">'20260201_05_mais.csv'!$L$11</definedName>
    <definedName name="solver_opt" localSheetId="13" hidden="1">'20260201_06_tomate.csv'!$L$11</definedName>
    <definedName name="solver_opt" localSheetId="14" hidden="1">'20260201_07_tomate.csv'!$L$11</definedName>
    <definedName name="solver_opt" localSheetId="15" hidden="1">'20260201_08_tomate.csv'!$L$11</definedName>
    <definedName name="solver_opt" localSheetId="16" hidden="1">'20260201_09_tomate.csv'!$L$11</definedName>
    <definedName name="solver_opt" localSheetId="17" hidden="1">'20260201_10_tomate.csv'!$L$11</definedName>
    <definedName name="solver_opt" localSheetId="18" hidden="1">'20260201_13_tomate.csv'!$L$11</definedName>
    <definedName name="solver_opt" localSheetId="19" hidden="1">'20260201_mais.csv'!$L$11</definedName>
    <definedName name="solver_pre" localSheetId="20" hidden="1">0.000000001</definedName>
    <definedName name="solver_pre" localSheetId="0" hidden="1">0.000000001</definedName>
    <definedName name="solver_pre" localSheetId="1" hidden="1">0.000000001</definedName>
    <definedName name="solver_pre" localSheetId="2" hidden="1">0.000000001</definedName>
    <definedName name="solver_pre" localSheetId="3" hidden="1">0.000000001</definedName>
    <definedName name="solver_pre" localSheetId="4" hidden="1">0.000000001</definedName>
    <definedName name="solver_pre" localSheetId="5" hidden="1">0.000000001</definedName>
    <definedName name="solver_pre" localSheetId="6" hidden="1">0.000000001</definedName>
    <definedName name="solver_pre" localSheetId="7" hidden="1">0.000000001</definedName>
    <definedName name="solver_pre" localSheetId="8" hidden="1">0.000000001</definedName>
    <definedName name="solver_pre" localSheetId="9" hidden="1">0.000000001</definedName>
    <definedName name="solver_pre" localSheetId="10" hidden="1">0.000000001</definedName>
    <definedName name="solver_pre" localSheetId="11" hidden="1">0.000000001</definedName>
    <definedName name="solver_pre" localSheetId="12" hidden="1">0.000000001</definedName>
    <definedName name="solver_pre" localSheetId="13" hidden="1">0.000000001</definedName>
    <definedName name="solver_pre" localSheetId="14" hidden="1">0.000000001</definedName>
    <definedName name="solver_pre" localSheetId="15" hidden="1">0.000000001</definedName>
    <definedName name="solver_pre" localSheetId="16" hidden="1">0.000000001</definedName>
    <definedName name="solver_pre" localSheetId="17" hidden="1">0.000000001</definedName>
    <definedName name="solver_pre" localSheetId="18" hidden="1">0.000000001</definedName>
    <definedName name="solver_pre" localSheetId="19" hidden="1">0.000000001</definedName>
    <definedName name="solver_rbv" localSheetId="20" hidden="1">2</definedName>
    <definedName name="solver_rbv" localSheetId="0" hidden="1">2</definedName>
    <definedName name="solver_rbv" localSheetId="1" hidden="1">2</definedName>
    <definedName name="solver_rbv" localSheetId="2" hidden="1">2</definedName>
    <definedName name="solver_rbv" localSheetId="3" hidden="1">2</definedName>
    <definedName name="solver_rbv" localSheetId="4" hidden="1">2</definedName>
    <definedName name="solver_rbv" localSheetId="5" hidden="1">2</definedName>
    <definedName name="solver_rbv" localSheetId="6" hidden="1">2</definedName>
    <definedName name="solver_rbv" localSheetId="7" hidden="1">2</definedName>
    <definedName name="solver_rbv" localSheetId="8" hidden="1">2</definedName>
    <definedName name="solver_rbv" localSheetId="9" hidden="1">2</definedName>
    <definedName name="solver_rbv" localSheetId="10" hidden="1">2</definedName>
    <definedName name="solver_rbv" localSheetId="11" hidden="1">2</definedName>
    <definedName name="solver_rbv" localSheetId="12" hidden="1">2</definedName>
    <definedName name="solver_rbv" localSheetId="13" hidden="1">2</definedName>
    <definedName name="solver_rbv" localSheetId="14" hidden="1">2</definedName>
    <definedName name="solver_rbv" localSheetId="15" hidden="1">2</definedName>
    <definedName name="solver_rbv" localSheetId="16" hidden="1">2</definedName>
    <definedName name="solver_rbv" localSheetId="17" hidden="1">2</definedName>
    <definedName name="solver_rbv" localSheetId="18" hidden="1">2</definedName>
    <definedName name="solver_rbv" localSheetId="19" hidden="1">2</definedName>
    <definedName name="solver_rel1" localSheetId="20" hidden="1">1</definedName>
    <definedName name="solver_rel1" localSheetId="0" hidden="1">1</definedName>
    <definedName name="solver_rel1" localSheetId="1" hidden="1">1</definedName>
    <definedName name="solver_rel1" localSheetId="2" hidden="1">1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18" hidden="1">1</definedName>
    <definedName name="solver_rel1" localSheetId="19" hidden="1">1</definedName>
    <definedName name="solver_rel2" localSheetId="20" hidden="1">3</definedName>
    <definedName name="solver_rel2" localSheetId="0" hidden="1">3</definedName>
    <definedName name="solver_rel2" localSheetId="1" hidden="1">3</definedName>
    <definedName name="solver_rel2" localSheetId="2" hidden="1">3</definedName>
    <definedName name="solver_rel2" localSheetId="3" hidden="1">3</definedName>
    <definedName name="solver_rel2" localSheetId="4" hidden="1">3</definedName>
    <definedName name="solver_rel2" localSheetId="5" hidden="1">3</definedName>
    <definedName name="solver_rel2" localSheetId="6" hidden="1">3</definedName>
    <definedName name="solver_rel2" localSheetId="7" hidden="1">3</definedName>
    <definedName name="solver_rel2" localSheetId="8" hidden="1">3</definedName>
    <definedName name="solver_rel2" localSheetId="9" hidden="1">3</definedName>
    <definedName name="solver_rel2" localSheetId="10" hidden="1">3</definedName>
    <definedName name="solver_rel2" localSheetId="11" hidden="1">3</definedName>
    <definedName name="solver_rel2" localSheetId="12" hidden="1">3</definedName>
    <definedName name="solver_rel2" localSheetId="13" hidden="1">3</definedName>
    <definedName name="solver_rel2" localSheetId="14" hidden="1">3</definedName>
    <definedName name="solver_rel2" localSheetId="15" hidden="1">3</definedName>
    <definedName name="solver_rel2" localSheetId="16" hidden="1">3</definedName>
    <definedName name="solver_rel2" localSheetId="17" hidden="1">3</definedName>
    <definedName name="solver_rel2" localSheetId="18" hidden="1">3</definedName>
    <definedName name="solver_rel2" localSheetId="19" hidden="1">3</definedName>
    <definedName name="solver_rhs1" localSheetId="20" hidden="1">0</definedName>
    <definedName name="solver_rhs1" localSheetId="0" hidden="1">0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" localSheetId="4" hidden="1">0</definedName>
    <definedName name="solver_rhs1" localSheetId="5" hidden="1">0</definedName>
    <definedName name="solver_rhs1" localSheetId="6" hidden="1">0</definedName>
    <definedName name="solver_rhs1" localSheetId="7" hidden="1">0</definedName>
    <definedName name="solver_rhs1" localSheetId="8" hidden="1">0</definedName>
    <definedName name="solver_rhs1" localSheetId="9" hidden="1">0</definedName>
    <definedName name="solver_rhs1" localSheetId="10" hidden="1">0</definedName>
    <definedName name="solver_rhs1" localSheetId="11" hidden="1">0</definedName>
    <definedName name="solver_rhs1" localSheetId="12" hidden="1">0</definedName>
    <definedName name="solver_rhs1" localSheetId="13" hidden="1">0</definedName>
    <definedName name="solver_rhs1" localSheetId="14" hidden="1">0</definedName>
    <definedName name="solver_rhs1" localSheetId="15" hidden="1">0</definedName>
    <definedName name="solver_rhs1" localSheetId="16" hidden="1">0</definedName>
    <definedName name="solver_rhs1" localSheetId="17" hidden="1">0</definedName>
    <definedName name="solver_rhs1" localSheetId="18" hidden="1">0</definedName>
    <definedName name="solver_rhs1" localSheetId="19" hidden="1">0</definedName>
    <definedName name="solver_rhs2" localSheetId="20" hidden="1">0</definedName>
    <definedName name="solver_rhs2" localSheetId="0" hidden="1">0</definedName>
    <definedName name="solver_rhs2" localSheetId="1" hidden="1">0</definedName>
    <definedName name="solver_rhs2" localSheetId="2" hidden="1">0</definedName>
    <definedName name="solver_rhs2" localSheetId="3" hidden="1">0</definedName>
    <definedName name="solver_rhs2" localSheetId="4" hidden="1">0</definedName>
    <definedName name="solver_rhs2" localSheetId="5" hidden="1">0</definedName>
    <definedName name="solver_rhs2" localSheetId="6" hidden="1">0</definedName>
    <definedName name="solver_rhs2" localSheetId="7" hidden="1">0</definedName>
    <definedName name="solver_rhs2" localSheetId="8" hidden="1">0</definedName>
    <definedName name="solver_rhs2" localSheetId="9" hidden="1">0</definedName>
    <definedName name="solver_rhs2" localSheetId="10" hidden="1">0</definedName>
    <definedName name="solver_rhs2" localSheetId="11" hidden="1">0</definedName>
    <definedName name="solver_rhs2" localSheetId="12" hidden="1">0</definedName>
    <definedName name="solver_rhs2" localSheetId="13" hidden="1">0</definedName>
    <definedName name="solver_rhs2" localSheetId="14" hidden="1">0</definedName>
    <definedName name="solver_rhs2" localSheetId="15" hidden="1">0</definedName>
    <definedName name="solver_rhs2" localSheetId="16" hidden="1">0</definedName>
    <definedName name="solver_rhs2" localSheetId="17" hidden="1">0</definedName>
    <definedName name="solver_rhs2" localSheetId="18" hidden="1">0</definedName>
    <definedName name="solver_rhs2" localSheetId="19" hidden="1">0</definedName>
    <definedName name="solver_rlx" localSheetId="20" hidden="1">2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13" hidden="1">2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sd" localSheetId="20" hidden="1">0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13" hidden="1">0</definedName>
    <definedName name="solver_rsd" localSheetId="14" hidden="1">0</definedName>
    <definedName name="solver_rsd" localSheetId="15" hidden="1">0</definedName>
    <definedName name="solver_rsd" localSheetId="16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scl" localSheetId="20" hidden="1">1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cl" localSheetId="9" hidden="1">1</definedName>
    <definedName name="solver_scl" localSheetId="10" hidden="1">1</definedName>
    <definedName name="solver_scl" localSheetId="11" hidden="1">1</definedName>
    <definedName name="solver_scl" localSheetId="12" hidden="1">1</definedName>
    <definedName name="solver_scl" localSheetId="13" hidden="1">1</definedName>
    <definedName name="solver_scl" localSheetId="14" hidden="1">1</definedName>
    <definedName name="solver_scl" localSheetId="15" hidden="1">1</definedName>
    <definedName name="solver_scl" localSheetId="16" hidden="1">1</definedName>
    <definedName name="solver_scl" localSheetId="17" hidden="1">1</definedName>
    <definedName name="solver_scl" localSheetId="18" hidden="1">1</definedName>
    <definedName name="solver_scl" localSheetId="19" hidden="1">1</definedName>
    <definedName name="solver_sho" localSheetId="20" hidden="1">2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sz" localSheetId="20" hidden="1">100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13" hidden="1">100</definedName>
    <definedName name="solver_ssz" localSheetId="14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tim" localSheetId="20" hidden="1">100</definedName>
    <definedName name="solver_tim" localSheetId="0" hidden="1">100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18" hidden="1">100</definedName>
    <definedName name="solver_tim" localSheetId="19" hidden="1">100</definedName>
    <definedName name="solver_tol" localSheetId="20" hidden="1">1</definedName>
    <definedName name="solver_tol" localSheetId="0" hidden="1">1</definedName>
    <definedName name="solver_tol" localSheetId="1" hidden="1">1</definedName>
    <definedName name="solver_tol" localSheetId="2" hidden="1">1</definedName>
    <definedName name="solver_tol" localSheetId="3" hidden="1">1</definedName>
    <definedName name="solver_tol" localSheetId="4" hidden="1">1</definedName>
    <definedName name="solver_tol" localSheetId="5" hidden="1">1</definedName>
    <definedName name="solver_tol" localSheetId="6" hidden="1">1</definedName>
    <definedName name="solver_tol" localSheetId="7" hidden="1">1</definedName>
    <definedName name="solver_tol" localSheetId="8" hidden="1">1</definedName>
    <definedName name="solver_tol" localSheetId="9" hidden="1">1</definedName>
    <definedName name="solver_tol" localSheetId="10" hidden="1">1</definedName>
    <definedName name="solver_tol" localSheetId="11" hidden="1">1</definedName>
    <definedName name="solver_tol" localSheetId="12" hidden="1">1</definedName>
    <definedName name="solver_tol" localSheetId="13" hidden="1">1</definedName>
    <definedName name="solver_tol" localSheetId="14" hidden="1">1</definedName>
    <definedName name="solver_tol" localSheetId="15" hidden="1">1</definedName>
    <definedName name="solver_tol" localSheetId="16" hidden="1">1</definedName>
    <definedName name="solver_tol" localSheetId="17" hidden="1">1</definedName>
    <definedName name="solver_tol" localSheetId="18" hidden="1">1</definedName>
    <definedName name="solver_tol" localSheetId="19" hidden="1">1</definedName>
    <definedName name="solver_typ" localSheetId="20" hidden="1">2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18" hidden="1">2</definedName>
    <definedName name="solver_typ" localSheetId="19" hidden="1">2</definedName>
    <definedName name="solver_val" localSheetId="20" hidden="1">0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er" localSheetId="20" hidden="1">3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8" hidden="1">3</definedName>
    <definedName name="solver_ver" localSheetId="19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56" l="1"/>
  <c r="O9" i="47"/>
  <c r="O9" i="45"/>
  <c r="O25" i="57"/>
  <c r="O24" i="57"/>
  <c r="O23" i="57"/>
  <c r="G18" i="57"/>
  <c r="E18" i="57"/>
  <c r="C18" i="57"/>
  <c r="G17" i="57"/>
  <c r="E17" i="57"/>
  <c r="C17" i="57"/>
  <c r="G16" i="57"/>
  <c r="E16" i="57"/>
  <c r="C16" i="57"/>
  <c r="G15" i="57"/>
  <c r="E15" i="57"/>
  <c r="C15" i="57"/>
  <c r="G14" i="57"/>
  <c r="E14" i="57"/>
  <c r="C14" i="57"/>
  <c r="G13" i="57"/>
  <c r="E13" i="57"/>
  <c r="C13" i="57"/>
  <c r="G12" i="57"/>
  <c r="E12" i="57"/>
  <c r="C12" i="57"/>
  <c r="G11" i="57"/>
  <c r="E11" i="57"/>
  <c r="C11" i="57"/>
  <c r="G10" i="57"/>
  <c r="E10" i="57"/>
  <c r="C10" i="57"/>
  <c r="G9" i="57"/>
  <c r="H9" i="57" s="1"/>
  <c r="E9" i="57"/>
  <c r="C9" i="57"/>
  <c r="O8" i="57"/>
  <c r="G8" i="57"/>
  <c r="E8" i="57"/>
  <c r="C8" i="57"/>
  <c r="O7" i="57"/>
  <c r="O9" i="57" s="1"/>
  <c r="G7" i="57"/>
  <c r="E7" i="57"/>
  <c r="C7" i="57"/>
  <c r="G6" i="57"/>
  <c r="E6" i="57"/>
  <c r="C6" i="57"/>
  <c r="G5" i="57"/>
  <c r="E5" i="57"/>
  <c r="C5" i="57"/>
  <c r="G4" i="57"/>
  <c r="E4" i="57"/>
  <c r="C4" i="57"/>
  <c r="O25" i="56"/>
  <c r="O24" i="56"/>
  <c r="O23" i="56"/>
  <c r="G18" i="56"/>
  <c r="E18" i="56"/>
  <c r="C18" i="56"/>
  <c r="G17" i="56"/>
  <c r="H17" i="56" s="1"/>
  <c r="E17" i="56"/>
  <c r="C17" i="56"/>
  <c r="G16" i="56"/>
  <c r="E16" i="56"/>
  <c r="C16" i="56"/>
  <c r="G15" i="56"/>
  <c r="E15" i="56"/>
  <c r="F15" i="56" s="1"/>
  <c r="C15" i="56"/>
  <c r="G14" i="56"/>
  <c r="E14" i="56"/>
  <c r="C14" i="56"/>
  <c r="G13" i="56"/>
  <c r="E13" i="56"/>
  <c r="C13" i="56"/>
  <c r="G12" i="56"/>
  <c r="E12" i="56"/>
  <c r="C12" i="56"/>
  <c r="G11" i="56"/>
  <c r="E11" i="56"/>
  <c r="C11" i="56"/>
  <c r="G10" i="56"/>
  <c r="E10" i="56"/>
  <c r="C10" i="56"/>
  <c r="G9" i="56"/>
  <c r="E9" i="56"/>
  <c r="C9" i="56"/>
  <c r="O8" i="56"/>
  <c r="G8" i="56"/>
  <c r="E8" i="56"/>
  <c r="C8" i="56"/>
  <c r="O7" i="56"/>
  <c r="G7" i="56"/>
  <c r="H7" i="56" s="1"/>
  <c r="E7" i="56"/>
  <c r="F7" i="56" s="1"/>
  <c r="C7" i="56"/>
  <c r="G6" i="56"/>
  <c r="E6" i="56"/>
  <c r="C6" i="56"/>
  <c r="G5" i="56"/>
  <c r="E5" i="56"/>
  <c r="C5" i="56"/>
  <c r="G4" i="56"/>
  <c r="E4" i="56"/>
  <c r="C4" i="56"/>
  <c r="O25" i="55"/>
  <c r="O24" i="55"/>
  <c r="O23" i="55"/>
  <c r="G18" i="55"/>
  <c r="H18" i="55" s="1"/>
  <c r="E18" i="55"/>
  <c r="C18" i="55"/>
  <c r="G17" i="55"/>
  <c r="E17" i="55"/>
  <c r="C17" i="55"/>
  <c r="G16" i="55"/>
  <c r="H16" i="55" s="1"/>
  <c r="E16" i="55"/>
  <c r="F16" i="55" s="1"/>
  <c r="C16" i="55"/>
  <c r="G15" i="55"/>
  <c r="E15" i="55"/>
  <c r="F15" i="55" s="1"/>
  <c r="C15" i="55"/>
  <c r="G14" i="55"/>
  <c r="E14" i="55"/>
  <c r="C14" i="55"/>
  <c r="G13" i="55"/>
  <c r="H13" i="55" s="1"/>
  <c r="F13" i="55"/>
  <c r="E13" i="55"/>
  <c r="C13" i="55"/>
  <c r="G12" i="55"/>
  <c r="E12" i="55"/>
  <c r="C12" i="55"/>
  <c r="G11" i="55"/>
  <c r="H11" i="55" s="1"/>
  <c r="E11" i="55"/>
  <c r="F11" i="55" s="1"/>
  <c r="C11" i="55"/>
  <c r="G10" i="55"/>
  <c r="E10" i="55"/>
  <c r="C10" i="55"/>
  <c r="G9" i="55"/>
  <c r="E9" i="55"/>
  <c r="C9" i="55"/>
  <c r="O8" i="55"/>
  <c r="G8" i="55"/>
  <c r="E8" i="55"/>
  <c r="C8" i="55"/>
  <c r="O7" i="55"/>
  <c r="G7" i="55"/>
  <c r="E7" i="55"/>
  <c r="F7" i="55" s="1"/>
  <c r="C7" i="55"/>
  <c r="G6" i="55"/>
  <c r="E6" i="55"/>
  <c r="C6" i="55"/>
  <c r="G5" i="55"/>
  <c r="E5" i="55"/>
  <c r="C5" i="55"/>
  <c r="G4" i="55"/>
  <c r="E4" i="55"/>
  <c r="C4" i="55"/>
  <c r="O25" i="54"/>
  <c r="O24" i="54"/>
  <c r="O23" i="54"/>
  <c r="G18" i="54"/>
  <c r="E18" i="54"/>
  <c r="C18" i="54"/>
  <c r="G17" i="54"/>
  <c r="E17" i="54"/>
  <c r="C17" i="54"/>
  <c r="G16" i="54"/>
  <c r="H16" i="54" s="1"/>
  <c r="E16" i="54"/>
  <c r="F16" i="54" s="1"/>
  <c r="C16" i="54"/>
  <c r="G15" i="54"/>
  <c r="E15" i="54"/>
  <c r="C15" i="54"/>
  <c r="G14" i="54"/>
  <c r="E14" i="54"/>
  <c r="F14" i="54" s="1"/>
  <c r="C14" i="54"/>
  <c r="G13" i="54"/>
  <c r="E13" i="54"/>
  <c r="C13" i="54"/>
  <c r="G12" i="54"/>
  <c r="E12" i="54"/>
  <c r="C12" i="54"/>
  <c r="G11" i="54"/>
  <c r="E11" i="54"/>
  <c r="C11" i="54"/>
  <c r="G10" i="54"/>
  <c r="E10" i="54"/>
  <c r="C10" i="54"/>
  <c r="G9" i="54"/>
  <c r="E9" i="54"/>
  <c r="C9" i="54"/>
  <c r="O8" i="54"/>
  <c r="G8" i="54"/>
  <c r="E8" i="54"/>
  <c r="C8" i="54"/>
  <c r="O7" i="54"/>
  <c r="O9" i="54" s="1"/>
  <c r="G7" i="54"/>
  <c r="E7" i="54"/>
  <c r="C7" i="54"/>
  <c r="G6" i="54"/>
  <c r="E6" i="54"/>
  <c r="F6" i="54" s="1"/>
  <c r="C6" i="54"/>
  <c r="G5" i="54"/>
  <c r="E5" i="54"/>
  <c r="F5" i="54" s="1"/>
  <c r="C5" i="54"/>
  <c r="G4" i="54"/>
  <c r="E4" i="54"/>
  <c r="C4" i="54"/>
  <c r="O25" i="53"/>
  <c r="O24" i="53"/>
  <c r="O23" i="53"/>
  <c r="G18" i="53"/>
  <c r="E18" i="53"/>
  <c r="C18" i="53"/>
  <c r="G17" i="53"/>
  <c r="E17" i="53"/>
  <c r="C17" i="53"/>
  <c r="G16" i="53"/>
  <c r="H16" i="53" s="1"/>
  <c r="E16" i="53"/>
  <c r="F16" i="53" s="1"/>
  <c r="C16" i="53"/>
  <c r="G15" i="53"/>
  <c r="E15" i="53"/>
  <c r="C15" i="53"/>
  <c r="G14" i="53"/>
  <c r="E14" i="53"/>
  <c r="C14" i="53"/>
  <c r="G13" i="53"/>
  <c r="E13" i="53"/>
  <c r="C13" i="53"/>
  <c r="G12" i="53"/>
  <c r="E12" i="53"/>
  <c r="C12" i="53"/>
  <c r="G11" i="53"/>
  <c r="E11" i="53"/>
  <c r="C11" i="53"/>
  <c r="G10" i="53"/>
  <c r="E10" i="53"/>
  <c r="C10" i="53"/>
  <c r="G9" i="53"/>
  <c r="E9" i="53"/>
  <c r="C9" i="53"/>
  <c r="H9" i="53" s="1"/>
  <c r="O8" i="53"/>
  <c r="G8" i="53"/>
  <c r="E8" i="53"/>
  <c r="C8" i="53"/>
  <c r="O7" i="53"/>
  <c r="O9" i="53" s="1"/>
  <c r="G7" i="53"/>
  <c r="E7" i="53"/>
  <c r="C7" i="53"/>
  <c r="H7" i="53" s="1"/>
  <c r="G6" i="53"/>
  <c r="H6" i="53" s="1"/>
  <c r="E6" i="53"/>
  <c r="C6" i="53"/>
  <c r="G5" i="53"/>
  <c r="E5" i="53"/>
  <c r="C5" i="53"/>
  <c r="G4" i="53"/>
  <c r="E4" i="53"/>
  <c r="C4" i="53"/>
  <c r="O25" i="52"/>
  <c r="O24" i="52"/>
  <c r="O23" i="52"/>
  <c r="G18" i="52"/>
  <c r="E18" i="52"/>
  <c r="C18" i="52"/>
  <c r="G17" i="52"/>
  <c r="E17" i="52"/>
  <c r="C17" i="52"/>
  <c r="G16" i="52"/>
  <c r="E16" i="52"/>
  <c r="C16" i="52"/>
  <c r="G15" i="52"/>
  <c r="E15" i="52"/>
  <c r="C15" i="52"/>
  <c r="G14" i="52"/>
  <c r="E14" i="52"/>
  <c r="C14" i="52"/>
  <c r="G13" i="52"/>
  <c r="E13" i="52"/>
  <c r="C13" i="52"/>
  <c r="G12" i="52"/>
  <c r="E12" i="52"/>
  <c r="C12" i="52"/>
  <c r="G11" i="52"/>
  <c r="E11" i="52"/>
  <c r="C11" i="52"/>
  <c r="G10" i="52"/>
  <c r="H10" i="52" s="1"/>
  <c r="E10" i="52"/>
  <c r="C10" i="52"/>
  <c r="G9" i="52"/>
  <c r="E9" i="52"/>
  <c r="C9" i="52"/>
  <c r="H9" i="52" s="1"/>
  <c r="O8" i="52"/>
  <c r="G8" i="52"/>
  <c r="E8" i="52"/>
  <c r="C8" i="52"/>
  <c r="O7" i="52"/>
  <c r="O9" i="52" s="1"/>
  <c r="G7" i="52"/>
  <c r="H7" i="52" s="1"/>
  <c r="E7" i="52"/>
  <c r="F7" i="52" s="1"/>
  <c r="C7" i="52"/>
  <c r="G6" i="52"/>
  <c r="E6" i="52"/>
  <c r="C6" i="52"/>
  <c r="G5" i="52"/>
  <c r="E5" i="52"/>
  <c r="C5" i="52"/>
  <c r="G4" i="52"/>
  <c r="E4" i="52"/>
  <c r="C4" i="52"/>
  <c r="O25" i="51"/>
  <c r="O24" i="51"/>
  <c r="O23" i="51"/>
  <c r="G18" i="51"/>
  <c r="E18" i="51"/>
  <c r="C18" i="51"/>
  <c r="G17" i="51"/>
  <c r="E17" i="51"/>
  <c r="C17" i="51"/>
  <c r="G16" i="51"/>
  <c r="H16" i="51" s="1"/>
  <c r="E16" i="51"/>
  <c r="C16" i="51"/>
  <c r="G15" i="51"/>
  <c r="E15" i="51"/>
  <c r="C15" i="51"/>
  <c r="G14" i="51"/>
  <c r="E14" i="51"/>
  <c r="C14" i="51"/>
  <c r="G13" i="51"/>
  <c r="E13" i="51"/>
  <c r="C13" i="51"/>
  <c r="G12" i="51"/>
  <c r="E12" i="51"/>
  <c r="C12" i="51"/>
  <c r="G11" i="51"/>
  <c r="E11" i="51"/>
  <c r="C11" i="51"/>
  <c r="G10" i="51"/>
  <c r="E10" i="51"/>
  <c r="C10" i="51"/>
  <c r="G9" i="51"/>
  <c r="E9" i="51"/>
  <c r="C9" i="51"/>
  <c r="O8" i="51"/>
  <c r="G8" i="51"/>
  <c r="E8" i="51"/>
  <c r="C8" i="51"/>
  <c r="O7" i="51"/>
  <c r="O9" i="51" s="1"/>
  <c r="G7" i="51"/>
  <c r="E7" i="51"/>
  <c r="C7" i="51"/>
  <c r="G6" i="51"/>
  <c r="H6" i="51" s="1"/>
  <c r="E6" i="51"/>
  <c r="C6" i="51"/>
  <c r="G5" i="51"/>
  <c r="E5" i="51"/>
  <c r="C5" i="51"/>
  <c r="G4" i="51"/>
  <c r="E4" i="51"/>
  <c r="C4" i="51"/>
  <c r="O25" i="50"/>
  <c r="O24" i="50"/>
  <c r="O23" i="50"/>
  <c r="G18" i="50"/>
  <c r="E18" i="50"/>
  <c r="C18" i="50"/>
  <c r="G17" i="50"/>
  <c r="E17" i="50"/>
  <c r="C17" i="50"/>
  <c r="G16" i="50"/>
  <c r="E16" i="50"/>
  <c r="C16" i="50"/>
  <c r="G15" i="50"/>
  <c r="E15" i="50"/>
  <c r="C15" i="50"/>
  <c r="G14" i="50"/>
  <c r="E14" i="50"/>
  <c r="C14" i="50"/>
  <c r="G13" i="50"/>
  <c r="E13" i="50"/>
  <c r="C13" i="50"/>
  <c r="G12" i="50"/>
  <c r="E12" i="50"/>
  <c r="F12" i="50" s="1"/>
  <c r="C12" i="50"/>
  <c r="G11" i="50"/>
  <c r="E11" i="50"/>
  <c r="C11" i="50"/>
  <c r="G10" i="50"/>
  <c r="E10" i="50"/>
  <c r="C10" i="50"/>
  <c r="G9" i="50"/>
  <c r="E9" i="50"/>
  <c r="C9" i="50"/>
  <c r="O8" i="50"/>
  <c r="G8" i="50"/>
  <c r="E8" i="50"/>
  <c r="C8" i="50"/>
  <c r="O7" i="50"/>
  <c r="O9" i="50" s="1"/>
  <c r="H7" i="50"/>
  <c r="G7" i="50"/>
  <c r="E7" i="50"/>
  <c r="C7" i="50"/>
  <c r="G6" i="50"/>
  <c r="E6" i="50"/>
  <c r="C6" i="50"/>
  <c r="G5" i="50"/>
  <c r="E5" i="50"/>
  <c r="C5" i="50"/>
  <c r="G4" i="50"/>
  <c r="E4" i="50"/>
  <c r="C4" i="50"/>
  <c r="O25" i="49"/>
  <c r="O24" i="49"/>
  <c r="O23" i="49"/>
  <c r="G18" i="49"/>
  <c r="E18" i="49"/>
  <c r="C18" i="49"/>
  <c r="H18" i="49" s="1"/>
  <c r="G17" i="49"/>
  <c r="H17" i="49" s="1"/>
  <c r="E17" i="49"/>
  <c r="F17" i="49" s="1"/>
  <c r="C17" i="49"/>
  <c r="G16" i="49"/>
  <c r="E16" i="49"/>
  <c r="C16" i="49"/>
  <c r="G15" i="49"/>
  <c r="E15" i="49"/>
  <c r="C15" i="49"/>
  <c r="G14" i="49"/>
  <c r="E14" i="49"/>
  <c r="C14" i="49"/>
  <c r="G13" i="49"/>
  <c r="E13" i="49"/>
  <c r="C13" i="49"/>
  <c r="G12" i="49"/>
  <c r="H12" i="49" s="1"/>
  <c r="E12" i="49"/>
  <c r="F12" i="49" s="1"/>
  <c r="C12" i="49"/>
  <c r="G11" i="49"/>
  <c r="E11" i="49"/>
  <c r="C11" i="49"/>
  <c r="G10" i="49"/>
  <c r="E10" i="49"/>
  <c r="F10" i="49" s="1"/>
  <c r="C10" i="49"/>
  <c r="G9" i="49"/>
  <c r="E9" i="49"/>
  <c r="C9" i="49"/>
  <c r="O8" i="49"/>
  <c r="G8" i="49"/>
  <c r="E8" i="49"/>
  <c r="C8" i="49"/>
  <c r="O7" i="49"/>
  <c r="O9" i="49" s="1"/>
  <c r="G7" i="49"/>
  <c r="H7" i="49" s="1"/>
  <c r="E7" i="49"/>
  <c r="C7" i="49"/>
  <c r="G6" i="49"/>
  <c r="E6" i="49"/>
  <c r="C6" i="49"/>
  <c r="G5" i="49"/>
  <c r="E5" i="49"/>
  <c r="C5" i="49"/>
  <c r="G4" i="49"/>
  <c r="E4" i="49"/>
  <c r="C4" i="49"/>
  <c r="O25" i="48"/>
  <c r="O24" i="48"/>
  <c r="O23" i="48"/>
  <c r="G18" i="48"/>
  <c r="E18" i="48"/>
  <c r="C18" i="48"/>
  <c r="G17" i="48"/>
  <c r="E17" i="48"/>
  <c r="C17" i="48"/>
  <c r="G16" i="48"/>
  <c r="E16" i="48"/>
  <c r="C16" i="48"/>
  <c r="G15" i="48"/>
  <c r="E15" i="48"/>
  <c r="C15" i="48"/>
  <c r="G14" i="48"/>
  <c r="E14" i="48"/>
  <c r="C14" i="48"/>
  <c r="G13" i="48"/>
  <c r="E13" i="48"/>
  <c r="C13" i="48"/>
  <c r="G12" i="48"/>
  <c r="E12" i="48"/>
  <c r="C12" i="48"/>
  <c r="G11" i="48"/>
  <c r="H11" i="48" s="1"/>
  <c r="E11" i="48"/>
  <c r="C11" i="48"/>
  <c r="G10" i="48"/>
  <c r="E10" i="48"/>
  <c r="C10" i="48"/>
  <c r="G9" i="48"/>
  <c r="E9" i="48"/>
  <c r="C9" i="48"/>
  <c r="O8" i="48"/>
  <c r="G8" i="48"/>
  <c r="E8" i="48"/>
  <c r="C8" i="48"/>
  <c r="O7" i="48"/>
  <c r="O9" i="48" s="1"/>
  <c r="G7" i="48"/>
  <c r="H7" i="48" s="1"/>
  <c r="E7" i="48"/>
  <c r="F7" i="48" s="1"/>
  <c r="C7" i="48"/>
  <c r="G6" i="48"/>
  <c r="E6" i="48"/>
  <c r="C6" i="48"/>
  <c r="G5" i="48"/>
  <c r="E5" i="48"/>
  <c r="C5" i="48"/>
  <c r="G4" i="48"/>
  <c r="E4" i="48"/>
  <c r="C4" i="48"/>
  <c r="O25" i="47"/>
  <c r="O24" i="47"/>
  <c r="O23" i="47"/>
  <c r="G18" i="47"/>
  <c r="E18" i="47"/>
  <c r="C18" i="47"/>
  <c r="H18" i="47" s="1"/>
  <c r="G17" i="47"/>
  <c r="E17" i="47"/>
  <c r="C17" i="47"/>
  <c r="G16" i="47"/>
  <c r="H16" i="47" s="1"/>
  <c r="E16" i="47"/>
  <c r="F16" i="47" s="1"/>
  <c r="C16" i="47"/>
  <c r="G15" i="47"/>
  <c r="E15" i="47"/>
  <c r="C15" i="47"/>
  <c r="G14" i="47"/>
  <c r="E14" i="47"/>
  <c r="C14" i="47"/>
  <c r="G13" i="47"/>
  <c r="E13" i="47"/>
  <c r="C13" i="47"/>
  <c r="G12" i="47"/>
  <c r="E12" i="47"/>
  <c r="C12" i="47"/>
  <c r="G11" i="47"/>
  <c r="E11" i="47"/>
  <c r="C11" i="47"/>
  <c r="G10" i="47"/>
  <c r="E10" i="47"/>
  <c r="C10" i="47"/>
  <c r="G9" i="47"/>
  <c r="E9" i="47"/>
  <c r="C9" i="47"/>
  <c r="O8" i="47"/>
  <c r="G8" i="47"/>
  <c r="E8" i="47"/>
  <c r="C8" i="47"/>
  <c r="O7" i="47"/>
  <c r="G7" i="47"/>
  <c r="E7" i="47"/>
  <c r="C7" i="47"/>
  <c r="G6" i="47"/>
  <c r="E6" i="47"/>
  <c r="C6" i="47"/>
  <c r="G5" i="47"/>
  <c r="E5" i="47"/>
  <c r="C5" i="47"/>
  <c r="G4" i="47"/>
  <c r="E4" i="47"/>
  <c r="C4" i="47"/>
  <c r="O25" i="46"/>
  <c r="O24" i="46"/>
  <c r="O23" i="46"/>
  <c r="G18" i="46"/>
  <c r="E18" i="46"/>
  <c r="C18" i="46"/>
  <c r="G17" i="46"/>
  <c r="E17" i="46"/>
  <c r="C17" i="46"/>
  <c r="G16" i="46"/>
  <c r="E16" i="46"/>
  <c r="C16" i="46"/>
  <c r="G15" i="46"/>
  <c r="E15" i="46"/>
  <c r="C15" i="46"/>
  <c r="G14" i="46"/>
  <c r="E14" i="46"/>
  <c r="C14" i="46"/>
  <c r="G13" i="46"/>
  <c r="E13" i="46"/>
  <c r="C13" i="46"/>
  <c r="G12" i="46"/>
  <c r="E12" i="46"/>
  <c r="C12" i="46"/>
  <c r="G11" i="46"/>
  <c r="H11" i="46" s="1"/>
  <c r="E11" i="46"/>
  <c r="C11" i="46"/>
  <c r="G10" i="46"/>
  <c r="E10" i="46"/>
  <c r="C10" i="46"/>
  <c r="G9" i="46"/>
  <c r="E9" i="46"/>
  <c r="C9" i="46"/>
  <c r="O8" i="46"/>
  <c r="G8" i="46"/>
  <c r="E8" i="46"/>
  <c r="C8" i="46"/>
  <c r="O7" i="46"/>
  <c r="O9" i="46" s="1"/>
  <c r="G7" i="46"/>
  <c r="E7" i="46"/>
  <c r="C7" i="46"/>
  <c r="G6" i="46"/>
  <c r="E6" i="46"/>
  <c r="C6" i="46"/>
  <c r="G5" i="46"/>
  <c r="H5" i="46" s="1"/>
  <c r="E5" i="46"/>
  <c r="F5" i="46" s="1"/>
  <c r="C5" i="46"/>
  <c r="G4" i="46"/>
  <c r="E4" i="46"/>
  <c r="C4" i="46"/>
  <c r="O25" i="45"/>
  <c r="O24" i="45"/>
  <c r="O23" i="45"/>
  <c r="G18" i="45"/>
  <c r="E18" i="45"/>
  <c r="C18" i="45"/>
  <c r="H18" i="45" s="1"/>
  <c r="G17" i="45"/>
  <c r="E17" i="45"/>
  <c r="C17" i="45"/>
  <c r="G16" i="45"/>
  <c r="E16" i="45"/>
  <c r="C16" i="45"/>
  <c r="G15" i="45"/>
  <c r="E15" i="45"/>
  <c r="C15" i="45"/>
  <c r="G14" i="45"/>
  <c r="E14" i="45"/>
  <c r="C14" i="45"/>
  <c r="H14" i="45" s="1"/>
  <c r="G13" i="45"/>
  <c r="E13" i="45"/>
  <c r="C13" i="45"/>
  <c r="G12" i="45"/>
  <c r="E12" i="45"/>
  <c r="C12" i="45"/>
  <c r="G11" i="45"/>
  <c r="E11" i="45"/>
  <c r="C11" i="45"/>
  <c r="H11" i="45" s="1"/>
  <c r="G10" i="45"/>
  <c r="E10" i="45"/>
  <c r="F10" i="45" s="1"/>
  <c r="C10" i="45"/>
  <c r="G9" i="45"/>
  <c r="E9" i="45"/>
  <c r="C9" i="45"/>
  <c r="O8" i="45"/>
  <c r="G8" i="45"/>
  <c r="E8" i="45"/>
  <c r="C8" i="45"/>
  <c r="O7" i="45"/>
  <c r="G7" i="45"/>
  <c r="E7" i="45"/>
  <c r="C7" i="45"/>
  <c r="G6" i="45"/>
  <c r="E6" i="45"/>
  <c r="C6" i="45"/>
  <c r="G5" i="45"/>
  <c r="E5" i="45"/>
  <c r="C5" i="45"/>
  <c r="G4" i="45"/>
  <c r="E4" i="45"/>
  <c r="C4" i="45"/>
  <c r="C18" i="44"/>
  <c r="E18" i="44"/>
  <c r="G18" i="44"/>
  <c r="G18" i="43"/>
  <c r="H18" i="43" s="1"/>
  <c r="E18" i="43"/>
  <c r="F18" i="43" s="1"/>
  <c r="C18" i="43"/>
  <c r="O25" i="44"/>
  <c r="O24" i="44"/>
  <c r="O23" i="44"/>
  <c r="G17" i="44"/>
  <c r="E17" i="44"/>
  <c r="F17" i="44" s="1"/>
  <c r="C17" i="44"/>
  <c r="G16" i="44"/>
  <c r="E16" i="44"/>
  <c r="C16" i="44"/>
  <c r="G15" i="44"/>
  <c r="E15" i="44"/>
  <c r="C15" i="44"/>
  <c r="G14" i="44"/>
  <c r="E14" i="44"/>
  <c r="C14" i="44"/>
  <c r="G13" i="44"/>
  <c r="E13" i="44"/>
  <c r="C13" i="44"/>
  <c r="G12" i="44"/>
  <c r="H12" i="44" s="1"/>
  <c r="E12" i="44"/>
  <c r="F12" i="44" s="1"/>
  <c r="C12" i="44"/>
  <c r="G11" i="44"/>
  <c r="E11" i="44"/>
  <c r="C11" i="44"/>
  <c r="G10" i="44"/>
  <c r="E10" i="44"/>
  <c r="C10" i="44"/>
  <c r="G9" i="44"/>
  <c r="E9" i="44"/>
  <c r="C9" i="44"/>
  <c r="O8" i="44"/>
  <c r="G8" i="44"/>
  <c r="E8" i="44"/>
  <c r="C8" i="44"/>
  <c r="O7" i="44"/>
  <c r="O9" i="44" s="1"/>
  <c r="G7" i="44"/>
  <c r="E7" i="44"/>
  <c r="C7" i="44"/>
  <c r="G6" i="44"/>
  <c r="E6" i="44"/>
  <c r="C6" i="44"/>
  <c r="G5" i="44"/>
  <c r="E5" i="44"/>
  <c r="C5" i="44"/>
  <c r="G4" i="44"/>
  <c r="E4" i="44"/>
  <c r="C4" i="44"/>
  <c r="O25" i="43"/>
  <c r="O24" i="43"/>
  <c r="O23" i="43"/>
  <c r="G17" i="43"/>
  <c r="E17" i="43"/>
  <c r="C17" i="43"/>
  <c r="G16" i="43"/>
  <c r="E16" i="43"/>
  <c r="C16" i="43"/>
  <c r="G15" i="43"/>
  <c r="E15" i="43"/>
  <c r="C15" i="43"/>
  <c r="G14" i="43"/>
  <c r="E14" i="43"/>
  <c r="C14" i="43"/>
  <c r="G13" i="43"/>
  <c r="E13" i="43"/>
  <c r="F13" i="43" s="1"/>
  <c r="C13" i="43"/>
  <c r="G12" i="43"/>
  <c r="E12" i="43"/>
  <c r="C12" i="43"/>
  <c r="G11" i="43"/>
  <c r="E11" i="43"/>
  <c r="C11" i="43"/>
  <c r="G10" i="43"/>
  <c r="E10" i="43"/>
  <c r="C10" i="43"/>
  <c r="G9" i="43"/>
  <c r="E9" i="43"/>
  <c r="C9" i="43"/>
  <c r="O8" i="43"/>
  <c r="G8" i="43"/>
  <c r="E8" i="43"/>
  <c r="C8" i="43"/>
  <c r="O7" i="43"/>
  <c r="O9" i="43" s="1"/>
  <c r="G7" i="43"/>
  <c r="E7" i="43"/>
  <c r="C7" i="43"/>
  <c r="G6" i="43"/>
  <c r="E6" i="43"/>
  <c r="C6" i="43"/>
  <c r="G5" i="43"/>
  <c r="E5" i="43"/>
  <c r="C5" i="43"/>
  <c r="G4" i="43"/>
  <c r="E4" i="43"/>
  <c r="C4" i="43"/>
  <c r="O25" i="42"/>
  <c r="O24" i="42"/>
  <c r="O23" i="42"/>
  <c r="G17" i="42"/>
  <c r="E17" i="42"/>
  <c r="C17" i="42"/>
  <c r="G16" i="42"/>
  <c r="E16" i="42"/>
  <c r="C16" i="42"/>
  <c r="G15" i="42"/>
  <c r="H15" i="42" s="1"/>
  <c r="E15" i="42"/>
  <c r="C15" i="42"/>
  <c r="G14" i="42"/>
  <c r="E14" i="42"/>
  <c r="C14" i="42"/>
  <c r="G13" i="42"/>
  <c r="E13" i="42"/>
  <c r="C13" i="42"/>
  <c r="G12" i="42"/>
  <c r="E12" i="42"/>
  <c r="C12" i="42"/>
  <c r="G11" i="42"/>
  <c r="E11" i="42"/>
  <c r="C11" i="42"/>
  <c r="G10" i="42"/>
  <c r="H10" i="42" s="1"/>
  <c r="E10" i="42"/>
  <c r="F10" i="42" s="1"/>
  <c r="C10" i="42"/>
  <c r="G9" i="42"/>
  <c r="E9" i="42"/>
  <c r="C9" i="42"/>
  <c r="O8" i="42"/>
  <c r="G8" i="42"/>
  <c r="E8" i="42"/>
  <c r="C8" i="42"/>
  <c r="H8" i="42" s="1"/>
  <c r="O7" i="42"/>
  <c r="O9" i="42" s="1"/>
  <c r="G7" i="42"/>
  <c r="E7" i="42"/>
  <c r="C7" i="42"/>
  <c r="G6" i="42"/>
  <c r="H6" i="42" s="1"/>
  <c r="E6" i="42"/>
  <c r="C6" i="42"/>
  <c r="G5" i="42"/>
  <c r="E5" i="42"/>
  <c r="C5" i="42"/>
  <c r="G4" i="42"/>
  <c r="E4" i="42"/>
  <c r="C4" i="42"/>
  <c r="O25" i="41"/>
  <c r="O24" i="41"/>
  <c r="O23" i="41"/>
  <c r="G17" i="41"/>
  <c r="E17" i="41"/>
  <c r="C17" i="41"/>
  <c r="G16" i="41"/>
  <c r="E16" i="41"/>
  <c r="C16" i="41"/>
  <c r="G15" i="41"/>
  <c r="E15" i="41"/>
  <c r="C15" i="41"/>
  <c r="G14" i="41"/>
  <c r="H14" i="41" s="1"/>
  <c r="E14" i="41"/>
  <c r="C14" i="41"/>
  <c r="G13" i="41"/>
  <c r="E13" i="41"/>
  <c r="C13" i="41"/>
  <c r="G12" i="41"/>
  <c r="E12" i="41"/>
  <c r="C12" i="41"/>
  <c r="G11" i="41"/>
  <c r="E11" i="41"/>
  <c r="C11" i="41"/>
  <c r="G10" i="41"/>
  <c r="E10" i="41"/>
  <c r="C10" i="41"/>
  <c r="O9" i="41"/>
  <c r="G9" i="41"/>
  <c r="E9" i="41"/>
  <c r="C9" i="41"/>
  <c r="O8" i="41"/>
  <c r="G8" i="41"/>
  <c r="E8" i="41"/>
  <c r="C8" i="41"/>
  <c r="O7" i="41"/>
  <c r="G7" i="41"/>
  <c r="E7" i="41"/>
  <c r="C7" i="41"/>
  <c r="G6" i="41"/>
  <c r="E6" i="41"/>
  <c r="C6" i="41"/>
  <c r="G5" i="41"/>
  <c r="E5" i="41"/>
  <c r="C5" i="41"/>
  <c r="G4" i="41"/>
  <c r="E4" i="41"/>
  <c r="C4" i="41"/>
  <c r="O25" i="40"/>
  <c r="O24" i="40"/>
  <c r="O23" i="40"/>
  <c r="G17" i="40"/>
  <c r="E17" i="40"/>
  <c r="C17" i="40"/>
  <c r="G16" i="40"/>
  <c r="E16" i="40"/>
  <c r="C16" i="40"/>
  <c r="G15" i="40"/>
  <c r="E15" i="40"/>
  <c r="C15" i="40"/>
  <c r="G14" i="40"/>
  <c r="H14" i="40" s="1"/>
  <c r="E14" i="40"/>
  <c r="F14" i="40" s="1"/>
  <c r="C14" i="40"/>
  <c r="G13" i="40"/>
  <c r="E13" i="40"/>
  <c r="C13" i="40"/>
  <c r="G12" i="40"/>
  <c r="E12" i="40"/>
  <c r="C12" i="40"/>
  <c r="G11" i="40"/>
  <c r="E11" i="40"/>
  <c r="C11" i="40"/>
  <c r="G10" i="40"/>
  <c r="E10" i="40"/>
  <c r="F10" i="40" s="1"/>
  <c r="C10" i="40"/>
  <c r="O9" i="40"/>
  <c r="G9" i="40"/>
  <c r="H9" i="40" s="1"/>
  <c r="E9" i="40"/>
  <c r="C9" i="40"/>
  <c r="O8" i="40"/>
  <c r="G8" i="40"/>
  <c r="E8" i="40"/>
  <c r="C8" i="40"/>
  <c r="O7" i="40"/>
  <c r="G7" i="40"/>
  <c r="E7" i="40"/>
  <c r="C7" i="40"/>
  <c r="G6" i="40"/>
  <c r="E6" i="40"/>
  <c r="C6" i="40"/>
  <c r="G5" i="40"/>
  <c r="E5" i="40"/>
  <c r="C5" i="40"/>
  <c r="G4" i="40"/>
  <c r="E4" i="40"/>
  <c r="C4" i="40"/>
  <c r="O25" i="39"/>
  <c r="O24" i="39"/>
  <c r="O23" i="39"/>
  <c r="G17" i="39"/>
  <c r="E17" i="39"/>
  <c r="C17" i="39"/>
  <c r="G16" i="39"/>
  <c r="E16" i="39"/>
  <c r="C16" i="39"/>
  <c r="G15" i="39"/>
  <c r="E15" i="39"/>
  <c r="C15" i="39"/>
  <c r="G14" i="39"/>
  <c r="H14" i="39" s="1"/>
  <c r="E14" i="39"/>
  <c r="C14" i="39"/>
  <c r="G13" i="39"/>
  <c r="E13" i="39"/>
  <c r="C13" i="39"/>
  <c r="G12" i="39"/>
  <c r="E12" i="39"/>
  <c r="C12" i="39"/>
  <c r="G11" i="39"/>
  <c r="E11" i="39"/>
  <c r="C11" i="39"/>
  <c r="G10" i="39"/>
  <c r="E10" i="39"/>
  <c r="C10" i="39"/>
  <c r="O9" i="39"/>
  <c r="G9" i="39"/>
  <c r="E9" i="39"/>
  <c r="C9" i="39"/>
  <c r="O8" i="39"/>
  <c r="G8" i="39"/>
  <c r="E8" i="39"/>
  <c r="C8" i="39"/>
  <c r="O7" i="39"/>
  <c r="G7" i="39"/>
  <c r="E7" i="39"/>
  <c r="C7" i="39"/>
  <c r="G6" i="39"/>
  <c r="E6" i="39"/>
  <c r="C6" i="39"/>
  <c r="G5" i="39"/>
  <c r="E5" i="39"/>
  <c r="C5" i="39"/>
  <c r="G4" i="39"/>
  <c r="E4" i="39"/>
  <c r="C4" i="39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4" i="22"/>
  <c r="F8" i="57" l="1"/>
  <c r="F10" i="57"/>
  <c r="F9" i="57"/>
  <c r="H15" i="57"/>
  <c r="F15" i="57"/>
  <c r="H10" i="57"/>
  <c r="F17" i="57"/>
  <c r="H5" i="57"/>
  <c r="F18" i="57"/>
  <c r="F5" i="57"/>
  <c r="F16" i="57"/>
  <c r="F13" i="57"/>
  <c r="H18" i="57"/>
  <c r="H7" i="57"/>
  <c r="F7" i="57"/>
  <c r="H11" i="57"/>
  <c r="F12" i="57"/>
  <c r="H16" i="57"/>
  <c r="H8" i="57"/>
  <c r="H12" i="57"/>
  <c r="F11" i="57"/>
  <c r="H4" i="57"/>
  <c r="H17" i="57"/>
  <c r="F4" i="57"/>
  <c r="H13" i="57"/>
  <c r="F14" i="57"/>
  <c r="F6" i="57"/>
  <c r="H14" i="57"/>
  <c r="H6" i="57"/>
  <c r="F8" i="56"/>
  <c r="F5" i="56"/>
  <c r="F12" i="56"/>
  <c r="H18" i="56"/>
  <c r="H6" i="56"/>
  <c r="F9" i="56"/>
  <c r="H13" i="56"/>
  <c r="F14" i="56"/>
  <c r="F13" i="56"/>
  <c r="H5" i="56"/>
  <c r="F16" i="56"/>
  <c r="F10" i="56"/>
  <c r="H16" i="56"/>
  <c r="F17" i="56"/>
  <c r="H9" i="56"/>
  <c r="H14" i="56"/>
  <c r="H10" i="56"/>
  <c r="F6" i="56"/>
  <c r="F11" i="56"/>
  <c r="H15" i="56"/>
  <c r="H11" i="56"/>
  <c r="F18" i="56"/>
  <c r="F4" i="56"/>
  <c r="H8" i="56"/>
  <c r="H12" i="56"/>
  <c r="H4" i="56"/>
  <c r="F10" i="55"/>
  <c r="O9" i="55"/>
  <c r="H9" i="55"/>
  <c r="H15" i="55"/>
  <c r="F14" i="55"/>
  <c r="F6" i="55"/>
  <c r="H7" i="55"/>
  <c r="F18" i="55"/>
  <c r="H4" i="55"/>
  <c r="H14" i="55"/>
  <c r="H5" i="55"/>
  <c r="H6" i="55"/>
  <c r="H10" i="55"/>
  <c r="F5" i="55"/>
  <c r="F12" i="55"/>
  <c r="F17" i="55"/>
  <c r="H12" i="55"/>
  <c r="H17" i="55"/>
  <c r="F8" i="55"/>
  <c r="F4" i="55"/>
  <c r="H8" i="55"/>
  <c r="F4" i="54"/>
  <c r="F10" i="54"/>
  <c r="H15" i="54"/>
  <c r="H9" i="54"/>
  <c r="F11" i="54"/>
  <c r="F7" i="54"/>
  <c r="F13" i="54"/>
  <c r="H11" i="54"/>
  <c r="H7" i="54"/>
  <c r="F12" i="54"/>
  <c r="F17" i="54"/>
  <c r="H12" i="54"/>
  <c r="H17" i="54"/>
  <c r="F18" i="54"/>
  <c r="H4" i="54"/>
  <c r="H13" i="54"/>
  <c r="H18" i="54"/>
  <c r="H5" i="54"/>
  <c r="H14" i="54"/>
  <c r="F8" i="54"/>
  <c r="H6" i="54"/>
  <c r="H10" i="54"/>
  <c r="H8" i="54"/>
  <c r="F9" i="55"/>
  <c r="H15" i="53"/>
  <c r="H11" i="53"/>
  <c r="F18" i="53"/>
  <c r="H13" i="53"/>
  <c r="F12" i="53"/>
  <c r="F13" i="53"/>
  <c r="F10" i="53"/>
  <c r="H10" i="53"/>
  <c r="H17" i="53"/>
  <c r="F8" i="53"/>
  <c r="H8" i="53"/>
  <c r="F4" i="53"/>
  <c r="F5" i="53"/>
  <c r="H5" i="53"/>
  <c r="F14" i="53"/>
  <c r="F6" i="53"/>
  <c r="H4" i="53"/>
  <c r="H18" i="53"/>
  <c r="H14" i="53"/>
  <c r="H12" i="53"/>
  <c r="F15" i="53"/>
  <c r="F7" i="53"/>
  <c r="F11" i="53"/>
  <c r="F17" i="53"/>
  <c r="F9" i="53"/>
  <c r="F9" i="54"/>
  <c r="F15" i="54"/>
  <c r="F15" i="52"/>
  <c r="F8" i="52"/>
  <c r="F10" i="52"/>
  <c r="F13" i="52"/>
  <c r="H6" i="52"/>
  <c r="F16" i="52"/>
  <c r="F11" i="52"/>
  <c r="H17" i="52"/>
  <c r="F18" i="52"/>
  <c r="F12" i="52"/>
  <c r="H13" i="52"/>
  <c r="F9" i="52"/>
  <c r="F4" i="52"/>
  <c r="F5" i="52"/>
  <c r="F14" i="52"/>
  <c r="H5" i="52"/>
  <c r="H14" i="52"/>
  <c r="H4" i="52"/>
  <c r="H15" i="52"/>
  <c r="F17" i="52"/>
  <c r="H18" i="52"/>
  <c r="F6" i="52"/>
  <c r="H12" i="52"/>
  <c r="H8" i="52"/>
  <c r="H11" i="52"/>
  <c r="H16" i="52"/>
  <c r="F12" i="51"/>
  <c r="H18" i="51"/>
  <c r="H12" i="51"/>
  <c r="F14" i="51"/>
  <c r="F15" i="51"/>
  <c r="F18" i="51"/>
  <c r="H13" i="51"/>
  <c r="F10" i="51"/>
  <c r="H7" i="51"/>
  <c r="F13" i="51"/>
  <c r="F6" i="51"/>
  <c r="H10" i="51"/>
  <c r="H17" i="51"/>
  <c r="H8" i="51"/>
  <c r="F9" i="51"/>
  <c r="H5" i="51"/>
  <c r="L29" i="51" s="1"/>
  <c r="F17" i="51"/>
  <c r="F5" i="51"/>
  <c r="H9" i="51"/>
  <c r="F8" i="51"/>
  <c r="H4" i="51"/>
  <c r="H14" i="51"/>
  <c r="H15" i="51"/>
  <c r="F11" i="51"/>
  <c r="H11" i="51"/>
  <c r="F4" i="51"/>
  <c r="F7" i="51"/>
  <c r="F16" i="51"/>
  <c r="F7" i="50"/>
  <c r="F13" i="50"/>
  <c r="F10" i="50"/>
  <c r="H6" i="50"/>
  <c r="H16" i="50"/>
  <c r="H18" i="50"/>
  <c r="H8" i="50"/>
  <c r="F17" i="50"/>
  <c r="F4" i="50"/>
  <c r="H4" i="50"/>
  <c r="H5" i="50"/>
  <c r="F6" i="50"/>
  <c r="F18" i="50"/>
  <c r="H10" i="50"/>
  <c r="F15" i="50"/>
  <c r="H13" i="50"/>
  <c r="H15" i="50"/>
  <c r="F9" i="50"/>
  <c r="F11" i="50"/>
  <c r="H11" i="50"/>
  <c r="F16" i="50"/>
  <c r="F14" i="50"/>
  <c r="F5" i="50"/>
  <c r="H14" i="50"/>
  <c r="H9" i="50"/>
  <c r="F8" i="50"/>
  <c r="H12" i="50"/>
  <c r="H17" i="50"/>
  <c r="H6" i="49"/>
  <c r="F13" i="49"/>
  <c r="F11" i="49"/>
  <c r="H11" i="49"/>
  <c r="F7" i="49"/>
  <c r="F4" i="49"/>
  <c r="F8" i="49"/>
  <c r="H8" i="49"/>
  <c r="H4" i="49"/>
  <c r="H5" i="49"/>
  <c r="F18" i="49"/>
  <c r="F9" i="49"/>
  <c r="F6" i="49"/>
  <c r="H10" i="49"/>
  <c r="F15" i="49"/>
  <c r="H15" i="49"/>
  <c r="H13" i="49"/>
  <c r="H9" i="49"/>
  <c r="F16" i="49"/>
  <c r="F5" i="49"/>
  <c r="H16" i="49"/>
  <c r="F14" i="49"/>
  <c r="H14" i="49"/>
  <c r="F15" i="48"/>
  <c r="H12" i="48"/>
  <c r="F13" i="48"/>
  <c r="F16" i="48"/>
  <c r="F10" i="48"/>
  <c r="F11" i="48"/>
  <c r="F4" i="48"/>
  <c r="H18" i="48"/>
  <c r="H13" i="48"/>
  <c r="F8" i="48"/>
  <c r="F14" i="48"/>
  <c r="H17" i="48"/>
  <c r="H5" i="48"/>
  <c r="H14" i="48"/>
  <c r="F17" i="48"/>
  <c r="F12" i="48"/>
  <c r="H8" i="48"/>
  <c r="H9" i="48"/>
  <c r="F9" i="48"/>
  <c r="F5" i="48"/>
  <c r="F6" i="48"/>
  <c r="H6" i="48"/>
  <c r="H10" i="48"/>
  <c r="H15" i="48"/>
  <c r="F18" i="48"/>
  <c r="H4" i="48"/>
  <c r="H16" i="48"/>
  <c r="F7" i="47"/>
  <c r="H6" i="47"/>
  <c r="F11" i="47"/>
  <c r="H11" i="47"/>
  <c r="H7" i="47"/>
  <c r="F14" i="47"/>
  <c r="F10" i="47"/>
  <c r="F13" i="47"/>
  <c r="F6" i="47"/>
  <c r="F12" i="47"/>
  <c r="H4" i="47"/>
  <c r="H13" i="47"/>
  <c r="H8" i="47"/>
  <c r="F5" i="47"/>
  <c r="F9" i="47"/>
  <c r="F17" i="47"/>
  <c r="F18" i="47"/>
  <c r="H5" i="47"/>
  <c r="H9" i="47"/>
  <c r="H14" i="47"/>
  <c r="H12" i="47"/>
  <c r="H17" i="47"/>
  <c r="F15" i="47"/>
  <c r="F8" i="47"/>
  <c r="H10" i="47"/>
  <c r="H15" i="47"/>
  <c r="F4" i="47"/>
  <c r="F7" i="46"/>
  <c r="F17" i="46"/>
  <c r="F10" i="46"/>
  <c r="F12" i="46"/>
  <c r="H18" i="46"/>
  <c r="F9" i="46"/>
  <c r="H9" i="46"/>
  <c r="F6" i="46"/>
  <c r="H10" i="46"/>
  <c r="H7" i="46"/>
  <c r="F13" i="46"/>
  <c r="H6" i="46"/>
  <c r="F7" i="45"/>
  <c r="F6" i="45"/>
  <c r="H7" i="45"/>
  <c r="F12" i="45"/>
  <c r="F13" i="45"/>
  <c r="H17" i="45"/>
  <c r="F17" i="45"/>
  <c r="H12" i="45"/>
  <c r="F16" i="46"/>
  <c r="F11" i="46"/>
  <c r="F8" i="46"/>
  <c r="H8" i="46"/>
  <c r="H4" i="46"/>
  <c r="F18" i="46"/>
  <c r="F15" i="46"/>
  <c r="H16" i="46"/>
  <c r="F4" i="46"/>
  <c r="H13" i="46"/>
  <c r="H15" i="46"/>
  <c r="H17" i="46"/>
  <c r="F14" i="46"/>
  <c r="H12" i="46"/>
  <c r="H14" i="46"/>
  <c r="F9" i="45"/>
  <c r="H8" i="45"/>
  <c r="F4" i="45"/>
  <c r="H13" i="45"/>
  <c r="H9" i="45"/>
  <c r="H5" i="45"/>
  <c r="F15" i="45"/>
  <c r="H6" i="45"/>
  <c r="H10" i="45"/>
  <c r="H15" i="45"/>
  <c r="F18" i="45"/>
  <c r="H4" i="45"/>
  <c r="F14" i="45"/>
  <c r="F11" i="45"/>
  <c r="H16" i="45"/>
  <c r="F8" i="45"/>
  <c r="F5" i="45"/>
  <c r="F16" i="45"/>
  <c r="H5" i="44"/>
  <c r="H8" i="44"/>
  <c r="F14" i="44"/>
  <c r="F6" i="44"/>
  <c r="F13" i="44"/>
  <c r="F7" i="44"/>
  <c r="H6" i="44"/>
  <c r="H4" i="44"/>
  <c r="F9" i="44"/>
  <c r="F8" i="44"/>
  <c r="F10" i="44"/>
  <c r="F15" i="44"/>
  <c r="F11" i="44"/>
  <c r="H11" i="44"/>
  <c r="F16" i="44"/>
  <c r="F4" i="44"/>
  <c r="F5" i="44"/>
  <c r="H9" i="44"/>
  <c r="H7" i="44"/>
  <c r="H16" i="44"/>
  <c r="H13" i="44"/>
  <c r="H14" i="44"/>
  <c r="H10" i="44"/>
  <c r="H15" i="44"/>
  <c r="H17" i="44"/>
  <c r="H18" i="44"/>
  <c r="F18" i="44"/>
  <c r="F5" i="43"/>
  <c r="F8" i="43"/>
  <c r="H13" i="43"/>
  <c r="F15" i="43"/>
  <c r="H6" i="43"/>
  <c r="F11" i="43"/>
  <c r="F12" i="43"/>
  <c r="F14" i="43"/>
  <c r="F6" i="43"/>
  <c r="H11" i="43"/>
  <c r="H14" i="43"/>
  <c r="H15" i="43"/>
  <c r="H17" i="43"/>
  <c r="H7" i="43"/>
  <c r="H9" i="43"/>
  <c r="H5" i="43"/>
  <c r="H16" i="43"/>
  <c r="F17" i="43"/>
  <c r="F9" i="43"/>
  <c r="F16" i="43"/>
  <c r="F4" i="43"/>
  <c r="F10" i="43"/>
  <c r="F7" i="43"/>
  <c r="H8" i="43"/>
  <c r="H12" i="43"/>
  <c r="H10" i="43"/>
  <c r="H4" i="43"/>
  <c r="H17" i="42"/>
  <c r="H5" i="42"/>
  <c r="F17" i="42"/>
  <c r="F16" i="42"/>
  <c r="F12" i="42"/>
  <c r="F14" i="42"/>
  <c r="F7" i="42"/>
  <c r="F13" i="42"/>
  <c r="F9" i="42"/>
  <c r="F15" i="42"/>
  <c r="H16" i="42"/>
  <c r="H7" i="42"/>
  <c r="F11" i="42"/>
  <c r="H4" i="42"/>
  <c r="H12" i="42"/>
  <c r="H9" i="42"/>
  <c r="H14" i="42"/>
  <c r="H11" i="42"/>
  <c r="F8" i="42"/>
  <c r="F5" i="42"/>
  <c r="F6" i="42"/>
  <c r="F4" i="42"/>
  <c r="H13" i="42"/>
  <c r="F15" i="41"/>
  <c r="H6" i="41"/>
  <c r="F16" i="41"/>
  <c r="F7" i="41"/>
  <c r="F12" i="41"/>
  <c r="F5" i="41"/>
  <c r="H5" i="41"/>
  <c r="F17" i="41"/>
  <c r="F14" i="41"/>
  <c r="H15" i="41"/>
  <c r="H12" i="41"/>
  <c r="H8" i="41"/>
  <c r="F6" i="41"/>
  <c r="F11" i="41"/>
  <c r="H7" i="41"/>
  <c r="F4" i="41"/>
  <c r="F13" i="41"/>
  <c r="H4" i="41"/>
  <c r="H13" i="41"/>
  <c r="H10" i="41"/>
  <c r="H11" i="41"/>
  <c r="H17" i="41"/>
  <c r="F9" i="41"/>
  <c r="F10" i="41"/>
  <c r="H16" i="41"/>
  <c r="F8" i="41"/>
  <c r="H9" i="41"/>
  <c r="F8" i="40"/>
  <c r="H5" i="40"/>
  <c r="F16" i="40"/>
  <c r="F11" i="40"/>
  <c r="F17" i="40"/>
  <c r="F12" i="40"/>
  <c r="F13" i="40"/>
  <c r="H7" i="40"/>
  <c r="H17" i="40"/>
  <c r="H15" i="40"/>
  <c r="H16" i="40"/>
  <c r="H8" i="40"/>
  <c r="H10" i="40"/>
  <c r="F6" i="40"/>
  <c r="F7" i="40"/>
  <c r="F4" i="40"/>
  <c r="H13" i="40"/>
  <c r="H6" i="40"/>
  <c r="H12" i="40"/>
  <c r="H4" i="40"/>
  <c r="F9" i="40"/>
  <c r="F15" i="40"/>
  <c r="H11" i="40"/>
  <c r="F5" i="40"/>
  <c r="F6" i="39"/>
  <c r="H15" i="39"/>
  <c r="F12" i="39"/>
  <c r="H6" i="39"/>
  <c r="F16" i="39"/>
  <c r="F9" i="39"/>
  <c r="F14" i="39"/>
  <c r="F10" i="39"/>
  <c r="H11" i="39"/>
  <c r="F4" i="39"/>
  <c r="H10" i="39"/>
  <c r="H7" i="39"/>
  <c r="F15" i="39"/>
  <c r="F11" i="39"/>
  <c r="H17" i="39"/>
  <c r="F13" i="39"/>
  <c r="H13" i="39"/>
  <c r="F7" i="39"/>
  <c r="H16" i="39"/>
  <c r="F8" i="39"/>
  <c r="H12" i="39"/>
  <c r="H4" i="39"/>
  <c r="F5" i="39"/>
  <c r="H5" i="39"/>
  <c r="F17" i="39"/>
  <c r="H8" i="39"/>
  <c r="H9" i="39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4" i="22"/>
  <c r="BB73" i="30"/>
  <c r="BA73" i="30"/>
  <c r="AZ73" i="30"/>
  <c r="BB72" i="30"/>
  <c r="BA72" i="30"/>
  <c r="AZ72" i="30"/>
  <c r="BB71" i="30"/>
  <c r="BA71" i="30"/>
  <c r="AZ71" i="30"/>
  <c r="BB70" i="30"/>
  <c r="BA70" i="30"/>
  <c r="AZ70" i="30"/>
  <c r="BD67" i="30"/>
  <c r="BA69" i="30" s="1"/>
  <c r="BD63" i="30"/>
  <c r="BB69" i="30" s="1"/>
  <c r="BD62" i="30"/>
  <c r="BD61" i="30"/>
  <c r="BD64" i="30" s="1"/>
  <c r="BB53" i="30"/>
  <c r="BA53" i="30"/>
  <c r="AZ53" i="30"/>
  <c r="BB52" i="30"/>
  <c r="AZ52" i="30"/>
  <c r="BB51" i="30"/>
  <c r="BA51" i="30"/>
  <c r="AZ51" i="30"/>
  <c r="BE48" i="30"/>
  <c r="BD48" i="30"/>
  <c r="BE47" i="30"/>
  <c r="BD47" i="30"/>
  <c r="BD46" i="30"/>
  <c r="BE45" i="30"/>
  <c r="BD45" i="30"/>
  <c r="BE44" i="30"/>
  <c r="BD44" i="30"/>
  <c r="BE43" i="30"/>
  <c r="BA52" i="30" s="1"/>
  <c r="BD43" i="30"/>
  <c r="BA36" i="30"/>
  <c r="BA35" i="30"/>
  <c r="AZ35" i="30"/>
  <c r="AZ34" i="30"/>
  <c r="BA33" i="30"/>
  <c r="AZ33" i="30"/>
  <c r="BA32" i="30"/>
  <c r="BD30" i="30"/>
  <c r="BD29" i="30"/>
  <c r="BD28" i="30"/>
  <c r="BA34" i="30" s="1"/>
  <c r="BD27" i="30"/>
  <c r="BD32" i="30" s="1"/>
  <c r="BD26" i="30"/>
  <c r="BD25" i="30"/>
  <c r="AP19" i="30"/>
  <c r="AQ19" i="30" s="1"/>
  <c r="AO19" i="30"/>
  <c r="AN19" i="30"/>
  <c r="AL19" i="30"/>
  <c r="AM19" i="30" s="1"/>
  <c r="AJ19" i="30"/>
  <c r="AK19" i="30" s="1"/>
  <c r="AI19" i="30"/>
  <c r="AH19" i="30"/>
  <c r="AG19" i="30"/>
  <c r="AF19" i="30"/>
  <c r="AD19" i="30"/>
  <c r="AE19" i="30" s="1"/>
  <c r="AC19" i="30"/>
  <c r="AB19" i="30"/>
  <c r="AP18" i="30"/>
  <c r="AQ18" i="30" s="1"/>
  <c r="AN18" i="30"/>
  <c r="AO18" i="30" s="1"/>
  <c r="AM18" i="30"/>
  <c r="AL18" i="30"/>
  <c r="AK18" i="30"/>
  <c r="AJ18" i="30"/>
  <c r="AH18" i="30"/>
  <c r="AI18" i="30" s="1"/>
  <c r="AG18" i="30"/>
  <c r="AF18" i="30"/>
  <c r="AD18" i="30"/>
  <c r="AE18" i="30" s="1"/>
  <c r="AB18" i="30"/>
  <c r="AC18" i="30" s="1"/>
  <c r="BA17" i="30"/>
  <c r="AZ17" i="30"/>
  <c r="AQ17" i="30"/>
  <c r="AP17" i="30"/>
  <c r="AN17" i="30"/>
  <c r="AO17" i="30" s="1"/>
  <c r="AM17" i="30"/>
  <c r="AL17" i="30"/>
  <c r="AJ17" i="30"/>
  <c r="AK17" i="30" s="1"/>
  <c r="AH17" i="30"/>
  <c r="AI17" i="30" s="1"/>
  <c r="AG17" i="30"/>
  <c r="AF17" i="30"/>
  <c r="AE17" i="30"/>
  <c r="AD17" i="30"/>
  <c r="AB17" i="30"/>
  <c r="AC17" i="30" s="1"/>
  <c r="BA16" i="30"/>
  <c r="AZ16" i="30"/>
  <c r="AP16" i="30"/>
  <c r="AQ16" i="30" s="1"/>
  <c r="AN16" i="30"/>
  <c r="AO16" i="30" s="1"/>
  <c r="AM16" i="30"/>
  <c r="AL16" i="30"/>
  <c r="AK16" i="30"/>
  <c r="AJ16" i="30"/>
  <c r="AH16" i="30"/>
  <c r="AI16" i="30" s="1"/>
  <c r="AG16" i="30"/>
  <c r="AF16" i="30"/>
  <c r="AD16" i="30"/>
  <c r="AE16" i="30" s="1"/>
  <c r="AB16" i="30"/>
  <c r="AC16" i="30" s="1"/>
  <c r="BA15" i="30"/>
  <c r="AZ15" i="30"/>
  <c r="AQ15" i="30"/>
  <c r="AP15" i="30"/>
  <c r="AN15" i="30"/>
  <c r="AO15" i="30" s="1"/>
  <c r="AM15" i="30"/>
  <c r="AL15" i="30"/>
  <c r="AJ15" i="30"/>
  <c r="AK15" i="30" s="1"/>
  <c r="AH15" i="30"/>
  <c r="AI15" i="30" s="1"/>
  <c r="AG15" i="30"/>
  <c r="AF15" i="30"/>
  <c r="AE15" i="30"/>
  <c r="AD15" i="30"/>
  <c r="AB15" i="30"/>
  <c r="AC15" i="30" s="1"/>
  <c r="BA14" i="30"/>
  <c r="AP14" i="30"/>
  <c r="AQ14" i="30" s="1"/>
  <c r="AN14" i="30"/>
  <c r="AO14" i="30" s="1"/>
  <c r="AM14" i="30"/>
  <c r="AL14" i="30"/>
  <c r="AK14" i="30"/>
  <c r="AJ14" i="30"/>
  <c r="AH14" i="30"/>
  <c r="AI14" i="30" s="1"/>
  <c r="AG14" i="30"/>
  <c r="AF14" i="30"/>
  <c r="AD14" i="30"/>
  <c r="AE14" i="30" s="1"/>
  <c r="AB14" i="30"/>
  <c r="AC14" i="30" s="1"/>
  <c r="BD13" i="30"/>
  <c r="AP13" i="30"/>
  <c r="AQ13" i="30" s="1"/>
  <c r="AO13" i="30"/>
  <c r="AN13" i="30"/>
  <c r="AL13" i="30"/>
  <c r="AM13" i="30" s="1"/>
  <c r="AK13" i="30"/>
  <c r="AJ13" i="30"/>
  <c r="AI13" i="30"/>
  <c r="AH13" i="30"/>
  <c r="AG13" i="30"/>
  <c r="AF13" i="30"/>
  <c r="AD13" i="30"/>
  <c r="AE13" i="30" s="1"/>
  <c r="AC13" i="30"/>
  <c r="AB13" i="30"/>
  <c r="BD12" i="30"/>
  <c r="AQ12" i="30"/>
  <c r="AP12" i="30"/>
  <c r="AN12" i="30"/>
  <c r="AO12" i="30" s="1"/>
  <c r="AL12" i="30"/>
  <c r="AM12" i="30" s="1"/>
  <c r="AK12" i="30"/>
  <c r="AJ12" i="30"/>
  <c r="AI12" i="30"/>
  <c r="AH12" i="30"/>
  <c r="AF12" i="30"/>
  <c r="AG12" i="30" s="1"/>
  <c r="AE12" i="30"/>
  <c r="AD12" i="30"/>
  <c r="AB12" i="30"/>
  <c r="AC12" i="30" s="1"/>
  <c r="AQ11" i="30"/>
  <c r="AP11" i="30"/>
  <c r="AO11" i="30"/>
  <c r="AN11" i="30"/>
  <c r="AL11" i="30"/>
  <c r="AM11" i="30" s="1"/>
  <c r="AK11" i="30"/>
  <c r="AJ11" i="30"/>
  <c r="AH11" i="30"/>
  <c r="AI11" i="30" s="1"/>
  <c r="AF11" i="30"/>
  <c r="AG11" i="30" s="1"/>
  <c r="AE11" i="30"/>
  <c r="AD11" i="30"/>
  <c r="AC11" i="30"/>
  <c r="AB11" i="30"/>
  <c r="BE10" i="30"/>
  <c r="AP10" i="30"/>
  <c r="AQ10" i="30" s="1"/>
  <c r="AO10" i="30"/>
  <c r="AN10" i="30"/>
  <c r="AM10" i="30"/>
  <c r="AL10" i="30"/>
  <c r="AK10" i="30"/>
  <c r="AJ10" i="30"/>
  <c r="AH10" i="30"/>
  <c r="AI10" i="30" s="1"/>
  <c r="AG10" i="30"/>
  <c r="AF10" i="30"/>
  <c r="AD10" i="30"/>
  <c r="AE10" i="30" s="1"/>
  <c r="AC10" i="30"/>
  <c r="AB10" i="30"/>
  <c r="BD9" i="30"/>
  <c r="AP9" i="30"/>
  <c r="AQ9" i="30" s="1"/>
  <c r="AO9" i="30"/>
  <c r="AN9" i="30"/>
  <c r="AM9" i="30"/>
  <c r="AL9" i="30"/>
  <c r="AJ9" i="30"/>
  <c r="AK9" i="30" s="1"/>
  <c r="AI9" i="30"/>
  <c r="AH9" i="30"/>
  <c r="AF9" i="30"/>
  <c r="AG9" i="30" s="1"/>
  <c r="AD9" i="30"/>
  <c r="AE9" i="30" s="1"/>
  <c r="AC9" i="30"/>
  <c r="AB9" i="30"/>
  <c r="BD8" i="30"/>
  <c r="AQ8" i="30"/>
  <c r="AP8" i="30"/>
  <c r="AN8" i="30"/>
  <c r="AO8" i="30" s="1"/>
  <c r="AM8" i="30"/>
  <c r="AL8" i="30"/>
  <c r="AK8" i="30"/>
  <c r="AJ8" i="30"/>
  <c r="AI8" i="30"/>
  <c r="AH8" i="30"/>
  <c r="AF8" i="30"/>
  <c r="AG8" i="30" s="1"/>
  <c r="AE8" i="30"/>
  <c r="AD8" i="30"/>
  <c r="AB8" i="30"/>
  <c r="AC8" i="30" s="1"/>
  <c r="BD7" i="30"/>
  <c r="BD11" i="30" s="1"/>
  <c r="AP7" i="30"/>
  <c r="AQ7" i="30" s="1"/>
  <c r="AN7" i="30"/>
  <c r="AO7" i="30" s="1"/>
  <c r="AM7" i="30"/>
  <c r="AL7" i="30"/>
  <c r="AK7" i="30"/>
  <c r="AJ7" i="30"/>
  <c r="AH7" i="30"/>
  <c r="AI7" i="30" s="1"/>
  <c r="AG7" i="30"/>
  <c r="AF7" i="30"/>
  <c r="AD7" i="30"/>
  <c r="AE7" i="30" s="1"/>
  <c r="AB7" i="30"/>
  <c r="AC7" i="30" s="1"/>
  <c r="AQ6" i="30"/>
  <c r="AP6" i="30"/>
  <c r="AO6" i="30"/>
  <c r="AN6" i="30"/>
  <c r="AL6" i="30"/>
  <c r="AM6" i="30" s="1"/>
  <c r="AK6" i="30"/>
  <c r="AJ6" i="30"/>
  <c r="AH6" i="30"/>
  <c r="AI6" i="30" s="1"/>
  <c r="AF6" i="30"/>
  <c r="AG6" i="30" s="1"/>
  <c r="AE6" i="30"/>
  <c r="AD6" i="30"/>
  <c r="AC6" i="30"/>
  <c r="AB6" i="30"/>
  <c r="AP5" i="30"/>
  <c r="AQ5" i="30" s="1"/>
  <c r="AO5" i="30"/>
  <c r="AN5" i="30"/>
  <c r="AL5" i="30"/>
  <c r="AM5" i="30" s="1"/>
  <c r="AJ5" i="30"/>
  <c r="AK5" i="30" s="1"/>
  <c r="AI5" i="30"/>
  <c r="AH5" i="30"/>
  <c r="AG5" i="30"/>
  <c r="AF5" i="30"/>
  <c r="AD5" i="30"/>
  <c r="AE5" i="30" s="1"/>
  <c r="AC5" i="30"/>
  <c r="AB5" i="30"/>
  <c r="AP4" i="30"/>
  <c r="AQ4" i="30" s="1"/>
  <c r="AN4" i="30"/>
  <c r="AO4" i="30" s="1"/>
  <c r="AM4" i="30"/>
  <c r="AL4" i="30"/>
  <c r="AK4" i="30"/>
  <c r="AJ4" i="30"/>
  <c r="AH4" i="30"/>
  <c r="AI4" i="30" s="1"/>
  <c r="AG4" i="30"/>
  <c r="AF4" i="30"/>
  <c r="AD4" i="30"/>
  <c r="AE4" i="30" s="1"/>
  <c r="AB4" i="30"/>
  <c r="AC4" i="30" s="1"/>
  <c r="O25" i="22"/>
  <c r="O24" i="22"/>
  <c r="O23" i="22"/>
  <c r="E17" i="22"/>
  <c r="E16" i="22"/>
  <c r="E15" i="22"/>
  <c r="E14" i="22"/>
  <c r="E13" i="22"/>
  <c r="H12" i="22"/>
  <c r="E12" i="22"/>
  <c r="F12" i="22" s="1"/>
  <c r="E11" i="22"/>
  <c r="E10" i="22"/>
  <c r="H9" i="22"/>
  <c r="E9" i="22"/>
  <c r="O8" i="22"/>
  <c r="E8" i="22"/>
  <c r="O7" i="22"/>
  <c r="E7" i="22"/>
  <c r="H6" i="22"/>
  <c r="E6" i="22"/>
  <c r="F6" i="22" s="1"/>
  <c r="E5" i="22"/>
  <c r="F5" i="22" s="1"/>
  <c r="E4" i="22"/>
  <c r="L29" i="57" l="1"/>
  <c r="L11" i="57"/>
  <c r="L29" i="56"/>
  <c r="L11" i="56"/>
  <c r="L29" i="55"/>
  <c r="L11" i="55"/>
  <c r="L29" i="54"/>
  <c r="L11" i="54"/>
  <c r="L29" i="53"/>
  <c r="L11" i="53"/>
  <c r="L11" i="52"/>
  <c r="L29" i="52"/>
  <c r="L11" i="51"/>
  <c r="L29" i="50"/>
  <c r="L11" i="50"/>
  <c r="L11" i="49"/>
  <c r="L29" i="49"/>
  <c r="L29" i="48"/>
  <c r="L11" i="48"/>
  <c r="L29" i="47"/>
  <c r="L11" i="47"/>
  <c r="L11" i="46"/>
  <c r="L29" i="46"/>
  <c r="L29" i="45"/>
  <c r="L11" i="45"/>
  <c r="L11" i="44"/>
  <c r="L29" i="44"/>
  <c r="L29" i="43"/>
  <c r="L11" i="43"/>
  <c r="L29" i="42"/>
  <c r="L11" i="42"/>
  <c r="L11" i="41"/>
  <c r="L29" i="41"/>
  <c r="L11" i="40"/>
  <c r="L29" i="40"/>
  <c r="L11" i="39"/>
  <c r="L29" i="39"/>
  <c r="F7" i="22"/>
  <c r="H7" i="22"/>
  <c r="F8" i="22"/>
  <c r="F13" i="22"/>
  <c r="H13" i="22"/>
  <c r="H8" i="22"/>
  <c r="H4" i="22"/>
  <c r="F14" i="22"/>
  <c r="H14" i="22"/>
  <c r="F9" i="22"/>
  <c r="H5" i="22"/>
  <c r="F4" i="22"/>
  <c r="F15" i="22"/>
  <c r="H15" i="22"/>
  <c r="F16" i="22"/>
  <c r="H16" i="22"/>
  <c r="F17" i="22"/>
  <c r="H17" i="22"/>
  <c r="F10" i="22"/>
  <c r="H10" i="22"/>
  <c r="F11" i="22"/>
  <c r="H11" i="22"/>
  <c r="O9" i="22"/>
  <c r="BA11" i="30"/>
  <c r="AZ14" i="30" s="1"/>
  <c r="BA29" i="30"/>
  <c r="AZ32" i="30" s="1"/>
  <c r="BA47" i="30"/>
  <c r="AZ50" i="30" s="1"/>
  <c r="BA66" i="30"/>
  <c r="AZ69" i="30" s="1"/>
  <c r="BD31" i="30"/>
  <c r="L29" i="22" l="1"/>
  <c r="L11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</author>
  </authors>
  <commentList>
    <comment ref="B1" authorId="0" shapeId="0" xr:uid="{F491308D-3229-41C2-85CB-CFE44B6AFF68}">
      <text>
        <r>
          <rPr>
            <b/>
            <sz val="9"/>
            <color indexed="81"/>
            <rFont val="Tahoma"/>
            <family val="2"/>
          </rPr>
          <t>CP:</t>
        </r>
        <r>
          <rPr>
            <sz val="9"/>
            <color indexed="81"/>
            <rFont val="Tahoma"/>
            <family val="2"/>
          </rPr>
          <t xml:space="preserve">
sollte mit der Tabellenblattbezeichnung übereinstimmen</t>
        </r>
      </text>
    </comment>
    <comment ref="E1" authorId="0" shapeId="0" xr:uid="{BF469DB4-BB82-4BD8-A5D5-F52D8DB85EAB}">
      <text>
        <r>
          <rPr>
            <b/>
            <sz val="9"/>
            <color indexed="81"/>
            <rFont val="Tahoma"/>
            <family val="2"/>
          </rPr>
          <t>CP:</t>
        </r>
        <r>
          <rPr>
            <sz val="9"/>
            <color indexed="81"/>
            <rFont val="Tahoma"/>
            <family val="2"/>
          </rPr>
          <t xml:space="preserve">
sollte mit der Tabellenblattbezeichnung übereinstimmen</t>
        </r>
      </text>
    </comment>
    <comment ref="E2" authorId="0" shapeId="0" xr:uid="{B48F448E-AC8B-45BF-88E1-DAF3602D659E}">
      <text>
        <r>
          <rPr>
            <b/>
            <sz val="9"/>
            <color indexed="81"/>
            <rFont val="Tahoma"/>
            <family val="2"/>
          </rPr>
          <t>CP:</t>
        </r>
        <r>
          <rPr>
            <sz val="9"/>
            <color indexed="81"/>
            <rFont val="Tahoma"/>
            <family val="2"/>
          </rPr>
          <t xml:space="preserve">
sollte mit der Tabellenblattbezeichnung übereinstimmen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D43F89-1A65-4CAE-B3BA-CC99CB9FDD50}" name="F2B1DKLK2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2E42B3EA-059C-4C2A-9062-04B9B7DB7AB0}" name="F2B1DKLK2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9D11EF70-A493-4B0F-9250-74B1C92F9218}" name="F2B1DKLK2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FEE06755-FD44-4CE1-84A3-34C45BB50862}" name="F2B1DKLK2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8824BA7A-BF40-4EFA-AD3D-23ADACF99682}" name="F2B1DKLK2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96F6B7F2-3E5A-4F3A-B8AC-C1BA1373B916}" name="F2B1DKLK2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4F0D8F95-0A2C-4AAA-8041-EBE67DB8E4F3}" name="F2B1DKLK2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916921C6-1E77-4455-9CAB-4D7E1F33CF5C}" name="F2B1DKLK2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BF20551F-1190-4635-AA04-CC58318A8881}" name="F2B1DKLK2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2C775F8D-BA3C-4763-BB16-F07568CEFD22}" name="F2B1DKLK2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3445552E-87A7-4AF9-984F-0215B9DEB286}" name="F2B1DKLK2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979260-0400-4B7A-A895-8448075CFD1D}" name="F2B1DKLK2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4EBC82D5-8E0A-45FB-BDF2-AEEEBD81EF12}" name="F2B1DKLK2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86637B08-C93F-414F-ADEC-717461E9A503}" name="F2B1DKLK2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F3701A18-FC32-4917-9238-11AD1B1CAABD}" name="F2B1DKLK21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C38FF9D-7D47-4E1A-8F14-6C2E17355EF3}" name="F2B1DKLK211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C2184A93-A586-459A-AD09-B00FAEE6054F}" name="F2B1DKLK2111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2666F08E-9755-4966-9D2C-04B1252FACCE}" name="F2B1DKLK21111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75349428-DBB0-4959-8881-2A8044556DFC}" name="F2B1DKLK211111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3983789C-A913-4B38-B509-4698BCA11CB0}" name="F2B1DKLK211111111111111111111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BA1125BC-413E-4E8D-8F25-82DE0D6B7062}" name="F2B1DKLK21111111211" type="6" refreshedVersion="6" background="1" saveData="1">
    <textPr codePage="850" firstRow="2" sourceFile="\\nvs1.uni-rostock.de\cp373\Personal\Betreuung\Bachelor_Nicole_Friederike\Tiefenstufe B\Enteromorpha\Kontrollproben\Messungen 24 h\Dual-PAM\F2B1DKLK2.CSV" thousands=" 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<sst xmlns="http://schemas.openxmlformats.org/spreadsheetml/2006/main" count="626" uniqueCount="76">
  <si>
    <t>Y(I)</t>
  </si>
  <si>
    <t>Y(ND)</t>
  </si>
  <si>
    <t>Y(NA)</t>
  </si>
  <si>
    <t>Y(II)</t>
  </si>
  <si>
    <t>Y(NO)</t>
  </si>
  <si>
    <t>Y(NPQ)</t>
  </si>
  <si>
    <t>F/Fm</t>
  </si>
  <si>
    <t>Fm'/Fm</t>
  </si>
  <si>
    <t>Fo'/Fo</t>
  </si>
  <si>
    <t>qP</t>
  </si>
  <si>
    <t>qL</t>
  </si>
  <si>
    <t>qN</t>
  </si>
  <si>
    <t>ETR(I)</t>
  </si>
  <si>
    <t>ETR(II)</t>
  </si>
  <si>
    <t>Platt</t>
  </si>
  <si>
    <t>Eilers &amp; Peeters</t>
  </si>
  <si>
    <t>Walsby</t>
  </si>
  <si>
    <t>Vollenweider</t>
  </si>
  <si>
    <t>fit</t>
  </si>
  <si>
    <t>Sdiff</t>
  </si>
  <si>
    <t>Platt 197?</t>
  </si>
  <si>
    <t>ETRmPot*(1-exp((-a*PFD)/ETRmPot))*exp((-b*PFD)/ETRmPot)</t>
  </si>
  <si>
    <t>ETRmPot</t>
  </si>
  <si>
    <t>ETRmax</t>
  </si>
  <si>
    <t>a</t>
  </si>
  <si>
    <t>alpha</t>
  </si>
  <si>
    <t>b</t>
  </si>
  <si>
    <t>beta</t>
  </si>
  <si>
    <t>Iopt</t>
  </si>
  <si>
    <t>Ik</t>
  </si>
  <si>
    <r>
      <t>ETRmax</t>
    </r>
    <r>
      <rPr>
        <b/>
        <vertAlign val="subscript"/>
        <sz val="10"/>
        <color indexed="9"/>
        <rFont val="Geneva"/>
        <family val="2"/>
      </rPr>
      <t>(without inhibition)</t>
    </r>
    <r>
      <rPr>
        <b/>
        <sz val="11"/>
        <color indexed="9"/>
        <rFont val="Calibri"/>
        <family val="2"/>
      </rPr>
      <t>:</t>
    </r>
  </si>
  <si>
    <t>ETRI-Solver</t>
  </si>
  <si>
    <t>Iopt-Solver</t>
  </si>
  <si>
    <t>Photoinhibition Index</t>
  </si>
  <si>
    <t>Eilers &amp; Peeters 1988</t>
  </si>
  <si>
    <t>c</t>
  </si>
  <si>
    <t>w</t>
  </si>
  <si>
    <t>beta-Solver</t>
  </si>
  <si>
    <r>
      <t>ETR</t>
    </r>
    <r>
      <rPr>
        <b/>
        <vertAlign val="subscript"/>
        <sz val="10"/>
        <color indexed="9"/>
        <rFont val="Geneva"/>
        <family val="2"/>
      </rPr>
      <t>(without inhibition)</t>
    </r>
    <r>
      <rPr>
        <b/>
        <sz val="11"/>
        <color indexed="9"/>
        <rFont val="Calibri"/>
        <family val="2"/>
      </rPr>
      <t>:</t>
    </r>
  </si>
  <si>
    <t>proportional zu beta: -1/(w²)</t>
  </si>
  <si>
    <r>
      <t>I</t>
    </r>
    <r>
      <rPr>
        <b/>
        <vertAlign val="subscript"/>
        <sz val="10"/>
        <color indexed="9"/>
        <rFont val="Geneva"/>
      </rPr>
      <t>beta</t>
    </r>
  </si>
  <si>
    <t>Walsby 1997</t>
  </si>
  <si>
    <t>c=0</t>
  </si>
  <si>
    <r>
      <t>I</t>
    </r>
    <r>
      <rPr>
        <b/>
        <vertAlign val="subscript"/>
        <sz val="10"/>
        <color indexed="9"/>
        <rFont val="Geneva"/>
      </rPr>
      <t>opt</t>
    </r>
    <r>
      <rPr>
        <b/>
        <sz val="10"/>
        <color indexed="9"/>
        <rFont val="Geneva"/>
      </rPr>
      <t>-Solver</t>
    </r>
  </si>
  <si>
    <t>Vollenweider 1965</t>
  </si>
  <si>
    <t>n</t>
  </si>
  <si>
    <t>f'(Iopt)</t>
  </si>
  <si>
    <r>
      <t>I</t>
    </r>
    <r>
      <rPr>
        <b/>
        <vertAlign val="subscript"/>
        <sz val="10"/>
        <color indexed="9"/>
        <rFont val="Geneva"/>
      </rPr>
      <t>beta</t>
    </r>
    <r>
      <rPr>
        <b/>
        <sz val="10"/>
        <color indexed="9"/>
        <rFont val="Geneva"/>
      </rPr>
      <t>-Solver</t>
    </r>
  </si>
  <si>
    <t>PS I</t>
  </si>
  <si>
    <t>PS II</t>
  </si>
  <si>
    <t>Date</t>
  </si>
  <si>
    <t>Time</t>
  </si>
  <si>
    <t>Action</t>
  </si>
  <si>
    <t>ID</t>
  </si>
  <si>
    <t>Name</t>
  </si>
  <si>
    <t>PAR</t>
  </si>
  <si>
    <t>Pm, Pm'</t>
  </si>
  <si>
    <t>Fo, Fo'</t>
  </si>
  <si>
    <t>F(I)</t>
  </si>
  <si>
    <t>F</t>
  </si>
  <si>
    <t>Fm, Fm'</t>
  </si>
  <si>
    <t>NPQ</t>
  </si>
  <si>
    <r>
      <t>I</t>
    </r>
    <r>
      <rPr>
        <b/>
        <vertAlign val="subscript"/>
        <sz val="10"/>
        <color theme="0"/>
        <rFont val="Geneva"/>
      </rPr>
      <t>beta</t>
    </r>
  </si>
  <si>
    <t>Ort</t>
  </si>
  <si>
    <t>Kühlungsborn</t>
  </si>
  <si>
    <t>Art</t>
  </si>
  <si>
    <t>Enteromorpha</t>
  </si>
  <si>
    <t>Tiefe</t>
  </si>
  <si>
    <t>B</t>
  </si>
  <si>
    <t>Probe</t>
  </si>
  <si>
    <t>Kontrolle</t>
  </si>
  <si>
    <t>Messung</t>
  </si>
  <si>
    <t>24h</t>
  </si>
  <si>
    <t>Vorlage</t>
  </si>
  <si>
    <t>residual sum of squares</t>
  </si>
  <si>
    <t>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</si>
</sst>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0"/>
    <numFmt numFmtId="166" formatCode="0.000"/>
    <numFmt numFmtId="167" formatCode="0.000000000000000"/>
    <numFmt numFmtId="168" formatCode="0.0000000000000000"/>
    <numFmt numFmtId="169" formatCode="0.00000000000000000"/>
    <numFmt numFmtId="170" formatCode="0.000000000000000000"/>
    <numFmt numFmtId="171" formatCode="0.0000000000000000000"/>
    <numFmt numFmtId="172" formatCode="0.00000000000000000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name val="Geneva"/>
    </font>
    <font>
      <sz val="10"/>
      <color indexed="9"/>
      <name val="Geneva"/>
      <family val="2"/>
    </font>
    <font>
      <b/>
      <sz val="10"/>
      <color indexed="9"/>
      <name val="Geneva"/>
    </font>
    <font>
      <b/>
      <vertAlign val="subscript"/>
      <sz val="10"/>
      <color indexed="9"/>
      <name val="Geneva"/>
      <family val="2"/>
    </font>
    <font>
      <b/>
      <sz val="11"/>
      <color indexed="9"/>
      <name val="Calibri"/>
      <family val="2"/>
    </font>
    <font>
      <b/>
      <sz val="11"/>
      <name val="Geneva"/>
      <family val="2"/>
    </font>
    <font>
      <sz val="10"/>
      <name val="Geneva"/>
      <family val="2"/>
    </font>
    <font>
      <b/>
      <vertAlign val="subscript"/>
      <sz val="10"/>
      <color indexed="9"/>
      <name val="Geneva"/>
    </font>
    <font>
      <b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Geneva"/>
    </font>
    <font>
      <b/>
      <vertAlign val="subscript"/>
      <sz val="10"/>
      <color theme="0"/>
      <name val="Geneva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79998168889431442"/>
        <bgColor indexed="13"/>
      </patternFill>
    </fill>
    <fill>
      <patternFill patternType="solid">
        <fgColor theme="9" tint="0.79998168889431442"/>
        <bgColor indexed="51"/>
      </patternFill>
    </fill>
    <fill>
      <patternFill patternType="solid">
        <fgColor theme="9" tint="-0.499984740745262"/>
        <bgColor indexed="13"/>
      </patternFill>
    </fill>
    <fill>
      <patternFill patternType="solid">
        <fgColor theme="9" tint="-0.499984740745262"/>
        <bgColor indexed="51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13"/>
      </patternFill>
    </fill>
    <fill>
      <patternFill patternType="solid">
        <fgColor theme="9" tint="0.79998168889431442"/>
        <bgColor indexed="41"/>
      </patternFill>
    </fill>
    <fill>
      <patternFill patternType="solid">
        <fgColor theme="5" tint="-0.499984740745262"/>
        <bgColor indexed="45"/>
      </patternFill>
    </fill>
    <fill>
      <patternFill patternType="solid">
        <fgColor theme="5" tint="0.79998168889431442"/>
        <bgColor indexed="41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3" fillId="0" borderId="0"/>
    <xf numFmtId="0" fontId="5" fillId="0" borderId="0"/>
    <xf numFmtId="0" fontId="20" fillId="18" borderId="0" applyNumberFormat="0" applyBorder="0" applyAlignment="0" applyProtection="0"/>
  </cellStyleXfs>
  <cellXfs count="13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/>
    <xf numFmtId="0" fontId="5" fillId="0" borderId="0" xfId="2"/>
    <xf numFmtId="0" fontId="7" fillId="0" borderId="9" xfId="2" applyFont="1" applyBorder="1" applyAlignment="1">
      <alignment horizontal="center"/>
    </xf>
    <xf numFmtId="0" fontId="5" fillId="0" borderId="9" xfId="2" applyBorder="1"/>
    <xf numFmtId="1" fontId="10" fillId="0" borderId="0" xfId="2" applyNumberFormat="1" applyFont="1"/>
    <xf numFmtId="0" fontId="2" fillId="0" borderId="1" xfId="0" applyFont="1" applyBorder="1"/>
    <xf numFmtId="0" fontId="7" fillId="0" borderId="0" xfId="2" applyFont="1" applyAlignment="1">
      <alignment horizontal="center"/>
    </xf>
    <xf numFmtId="0" fontId="6" fillId="0" borderId="0" xfId="2" applyFont="1"/>
    <xf numFmtId="2" fontId="5" fillId="0" borderId="0" xfId="2" applyNumberFormat="1"/>
    <xf numFmtId="0" fontId="3" fillId="0" borderId="0" xfId="1"/>
    <xf numFmtId="0" fontId="0" fillId="3" borderId="2" xfId="0" applyFill="1" applyBorder="1"/>
    <xf numFmtId="0" fontId="0" fillId="3" borderId="3" xfId="0" applyFill="1" applyBorder="1"/>
    <xf numFmtId="0" fontId="0" fillId="3" borderId="1" xfId="0" applyFill="1" applyBorder="1"/>
    <xf numFmtId="0" fontId="0" fillId="3" borderId="0" xfId="0" applyFill="1"/>
    <xf numFmtId="14" fontId="0" fillId="0" borderId="0" xfId="0" applyNumberFormat="1"/>
    <xf numFmtId="20" fontId="0" fillId="0" borderId="0" xfId="0" applyNumberFormat="1"/>
    <xf numFmtId="0" fontId="14" fillId="0" borderId="0" xfId="0" applyFont="1"/>
    <xf numFmtId="2" fontId="5" fillId="6" borderId="7" xfId="2" applyNumberFormat="1" applyFill="1" applyBorder="1" applyAlignment="1">
      <alignment horizontal="right"/>
    </xf>
    <xf numFmtId="0" fontId="4" fillId="8" borderId="4" xfId="1" applyFon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4" fillId="8" borderId="7" xfId="1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0" fontId="7" fillId="8" borderId="10" xfId="2" applyFont="1" applyFill="1" applyBorder="1" applyAlignment="1">
      <alignment horizontal="center"/>
    </xf>
    <xf numFmtId="165" fontId="5" fillId="0" borderId="0" xfId="2" applyNumberFormat="1"/>
    <xf numFmtId="0" fontId="15" fillId="8" borderId="13" xfId="1" applyFont="1" applyFill="1" applyBorder="1" applyAlignment="1">
      <alignment horizontal="center"/>
    </xf>
    <xf numFmtId="2" fontId="5" fillId="6" borderId="5" xfId="2" applyNumberFormat="1" applyFill="1" applyBorder="1"/>
    <xf numFmtId="0" fontId="15" fillId="8" borderId="1" xfId="1" applyFont="1" applyFill="1" applyBorder="1" applyAlignment="1">
      <alignment horizontal="center"/>
    </xf>
    <xf numFmtId="2" fontId="5" fillId="6" borderId="7" xfId="2" applyNumberFormat="1" applyFill="1" applyBorder="1"/>
    <xf numFmtId="0" fontId="16" fillId="8" borderId="1" xfId="2" applyFont="1" applyFill="1" applyBorder="1" applyAlignment="1">
      <alignment horizontal="center"/>
    </xf>
    <xf numFmtId="0" fontId="16" fillId="10" borderId="2" xfId="2" applyFont="1" applyFill="1" applyBorder="1" applyAlignment="1">
      <alignment horizontal="center"/>
    </xf>
    <xf numFmtId="2" fontId="5" fillId="6" borderId="4" xfId="2" applyNumberFormat="1" applyFill="1" applyBorder="1"/>
    <xf numFmtId="166" fontId="5" fillId="6" borderId="6" xfId="2" applyNumberFormat="1" applyFill="1" applyBorder="1"/>
    <xf numFmtId="2" fontId="5" fillId="6" borderId="6" xfId="2" applyNumberFormat="1" applyFill="1" applyBorder="1"/>
    <xf numFmtId="0" fontId="5" fillId="11" borderId="10" xfId="2" applyFill="1" applyBorder="1"/>
    <xf numFmtId="0" fontId="3" fillId="12" borderId="6" xfId="1" applyFill="1" applyBorder="1"/>
    <xf numFmtId="165" fontId="5" fillId="7" borderId="7" xfId="2" applyNumberFormat="1" applyFill="1" applyBorder="1"/>
    <xf numFmtId="164" fontId="6" fillId="14" borderId="0" xfId="2" applyNumberFormat="1" applyFont="1" applyFill="1"/>
    <xf numFmtId="0" fontId="7" fillId="5" borderId="8" xfId="2" applyFont="1" applyFill="1" applyBorder="1"/>
    <xf numFmtId="0" fontId="2" fillId="5" borderId="8" xfId="0" applyFont="1" applyFill="1" applyBorder="1"/>
    <xf numFmtId="0" fontId="7" fillId="5" borderId="2" xfId="2" applyFont="1" applyFill="1" applyBorder="1"/>
    <xf numFmtId="0" fontId="7" fillId="5" borderId="4" xfId="2" applyFont="1" applyFill="1" applyBorder="1" applyAlignment="1">
      <alignment horizontal="right"/>
    </xf>
    <xf numFmtId="0" fontId="7" fillId="5" borderId="12" xfId="2" applyFont="1" applyFill="1" applyBorder="1"/>
    <xf numFmtId="0" fontId="7" fillId="5" borderId="6" xfId="2" applyFont="1" applyFill="1" applyBorder="1" applyAlignment="1">
      <alignment horizontal="center"/>
    </xf>
    <xf numFmtId="0" fontId="7" fillId="5" borderId="4" xfId="2" applyFont="1" applyFill="1" applyBorder="1" applyAlignment="1">
      <alignment horizontal="center"/>
    </xf>
    <xf numFmtId="164" fontId="5" fillId="2" borderId="4" xfId="2" applyNumberFormat="1" applyFill="1" applyBorder="1" applyAlignment="1">
      <alignment horizontal="right"/>
    </xf>
    <xf numFmtId="0" fontId="0" fillId="2" borderId="4" xfId="0" applyFill="1" applyBorder="1"/>
    <xf numFmtId="0" fontId="5" fillId="2" borderId="6" xfId="2" applyFill="1" applyBorder="1" applyAlignment="1">
      <alignment horizontal="right"/>
    </xf>
    <xf numFmtId="0" fontId="0" fillId="2" borderId="6" xfId="0" applyFill="1" applyBorder="1"/>
    <xf numFmtId="0" fontId="5" fillId="2" borderId="10" xfId="2" applyFill="1" applyBorder="1" applyAlignment="1">
      <alignment horizontal="right"/>
    </xf>
    <xf numFmtId="0" fontId="0" fillId="2" borderId="10" xfId="0" applyFill="1" applyBorder="1"/>
    <xf numFmtId="2" fontId="5" fillId="12" borderId="7" xfId="2" applyNumberFormat="1" applyFill="1" applyBorder="1" applyAlignment="1">
      <alignment horizontal="right"/>
    </xf>
    <xf numFmtId="0" fontId="5" fillId="2" borderId="4" xfId="2" applyFill="1" applyBorder="1" applyAlignment="1">
      <alignment horizontal="right"/>
    </xf>
    <xf numFmtId="0" fontId="5" fillId="2" borderId="10" xfId="2" applyFill="1" applyBorder="1"/>
    <xf numFmtId="164" fontId="5" fillId="2" borderId="13" xfId="2" applyNumberFormat="1" applyFill="1" applyBorder="1" applyAlignment="1">
      <alignment horizontal="right"/>
    </xf>
    <xf numFmtId="0" fontId="5" fillId="2" borderId="1" xfId="2" applyFill="1" applyBorder="1" applyAlignment="1">
      <alignment horizontal="right"/>
    </xf>
    <xf numFmtId="0" fontId="5" fillId="2" borderId="2" xfId="2" applyFill="1" applyBorder="1" applyAlignment="1">
      <alignment horizontal="right"/>
    </xf>
    <xf numFmtId="2" fontId="5" fillId="2" borderId="1" xfId="2" applyNumberFormat="1" applyFill="1" applyBorder="1" applyAlignment="1">
      <alignment horizontal="right"/>
    </xf>
    <xf numFmtId="0" fontId="0" fillId="2" borderId="7" xfId="0" applyFill="1" applyBorder="1"/>
    <xf numFmtId="0" fontId="0" fillId="2" borderId="11" xfId="0" applyFill="1" applyBorder="1"/>
    <xf numFmtId="0" fontId="5" fillId="2" borderId="4" xfId="2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0" fontId="5" fillId="2" borderId="10" xfId="2" applyFill="1" applyBorder="1" applyAlignment="1">
      <alignment horizontal="center"/>
    </xf>
    <xf numFmtId="2" fontId="5" fillId="6" borderId="6" xfId="2" applyNumberFormat="1" applyFill="1" applyBorder="1" applyAlignment="1">
      <alignment horizontal="right"/>
    </xf>
    <xf numFmtId="0" fontId="11" fillId="7" borderId="6" xfId="2" applyFont="1" applyFill="1" applyBorder="1"/>
    <xf numFmtId="165" fontId="5" fillId="7" borderId="6" xfId="2" applyNumberFormat="1" applyFill="1" applyBorder="1"/>
    <xf numFmtId="0" fontId="5" fillId="15" borderId="10" xfId="2" applyFill="1" applyBorder="1"/>
    <xf numFmtId="2" fontId="5" fillId="6" borderId="10" xfId="2" applyNumberFormat="1" applyFill="1" applyBorder="1"/>
    <xf numFmtId="0" fontId="7" fillId="10" borderId="8" xfId="2" applyFont="1" applyFill="1" applyBorder="1" applyAlignment="1">
      <alignment horizontal="center"/>
    </xf>
    <xf numFmtId="0" fontId="11" fillId="13" borderId="4" xfId="2" applyFont="1" applyFill="1" applyBorder="1"/>
    <xf numFmtId="0" fontId="3" fillId="6" borderId="6" xfId="1" applyFill="1" applyBorder="1"/>
    <xf numFmtId="2" fontId="5" fillId="12" borderId="6" xfId="2" applyNumberFormat="1" applyFill="1" applyBorder="1"/>
    <xf numFmtId="0" fontId="15" fillId="16" borderId="13" xfId="0" applyFont="1" applyFill="1" applyBorder="1"/>
    <xf numFmtId="0" fontId="0" fillId="0" borderId="9" xfId="0" applyBorder="1"/>
    <xf numFmtId="49" fontId="3" fillId="17" borderId="5" xfId="0" applyNumberFormat="1" applyFont="1" applyFill="1" applyBorder="1" applyAlignment="1">
      <alignment horizontal="right"/>
    </xf>
    <xf numFmtId="0" fontId="15" fillId="16" borderId="2" xfId="0" applyFont="1" applyFill="1" applyBorder="1"/>
    <xf numFmtId="0" fontId="0" fillId="0" borderId="3" xfId="0" applyBorder="1"/>
    <xf numFmtId="49" fontId="3" fillId="17" borderId="11" xfId="0" applyNumberFormat="1" applyFont="1" applyFill="1" applyBorder="1" applyAlignment="1">
      <alignment horizontal="right"/>
    </xf>
    <xf numFmtId="3" fontId="0" fillId="0" borderId="0" xfId="0" applyNumberFormat="1"/>
    <xf numFmtId="3" fontId="0" fillId="3" borderId="0" xfId="0" applyNumberFormat="1" applyFill="1"/>
    <xf numFmtId="0" fontId="20" fillId="18" borderId="4" xfId="3" applyBorder="1" applyAlignment="1">
      <alignment horizontal="center"/>
    </xf>
    <xf numFmtId="0" fontId="20" fillId="18" borderId="6" xfId="3" applyBorder="1" applyAlignment="1">
      <alignment horizontal="center"/>
    </xf>
    <xf numFmtId="11" fontId="0" fillId="0" borderId="0" xfId="0" applyNumberFormat="1"/>
    <xf numFmtId="0" fontId="1" fillId="0" borderId="0" xfId="0" applyFont="1"/>
    <xf numFmtId="167" fontId="20" fillId="18" borderId="5" xfId="3" applyNumberFormat="1" applyBorder="1"/>
    <xf numFmtId="167" fontId="20" fillId="18" borderId="7" xfId="3" applyNumberFormat="1" applyBorder="1"/>
    <xf numFmtId="167" fontId="0" fillId="0" borderId="0" xfId="0" applyNumberFormat="1"/>
    <xf numFmtId="167" fontId="20" fillId="18" borderId="4" xfId="3" applyNumberFormat="1" applyBorder="1"/>
    <xf numFmtId="167" fontId="20" fillId="18" borderId="6" xfId="3" applyNumberFormat="1" applyBorder="1"/>
    <xf numFmtId="168" fontId="20" fillId="18" borderId="5" xfId="3" applyNumberFormat="1" applyBorder="1"/>
    <xf numFmtId="168" fontId="20" fillId="18" borderId="7" xfId="3" applyNumberFormat="1" applyBorder="1"/>
    <xf numFmtId="168" fontId="0" fillId="0" borderId="0" xfId="0" applyNumberFormat="1"/>
    <xf numFmtId="168" fontId="20" fillId="18" borderId="4" xfId="3" applyNumberFormat="1" applyBorder="1"/>
    <xf numFmtId="168" fontId="20" fillId="18" borderId="6" xfId="3" applyNumberFormat="1" applyBorder="1"/>
    <xf numFmtId="169" fontId="20" fillId="18" borderId="5" xfId="3" applyNumberFormat="1" applyBorder="1"/>
    <xf numFmtId="169" fontId="20" fillId="18" borderId="7" xfId="3" applyNumberFormat="1" applyBorder="1"/>
    <xf numFmtId="169" fontId="0" fillId="0" borderId="0" xfId="0" applyNumberFormat="1"/>
    <xf numFmtId="169" fontId="20" fillId="18" borderId="4" xfId="3" applyNumberFormat="1" applyBorder="1"/>
    <xf numFmtId="169" fontId="20" fillId="18" borderId="6" xfId="3" applyNumberFormat="1" applyBorder="1"/>
    <xf numFmtId="170" fontId="20" fillId="18" borderId="5" xfId="3" applyNumberFormat="1" applyBorder="1"/>
    <xf numFmtId="170" fontId="20" fillId="18" borderId="7" xfId="3" applyNumberFormat="1" applyBorder="1"/>
    <xf numFmtId="170" fontId="0" fillId="0" borderId="0" xfId="0" applyNumberFormat="1"/>
    <xf numFmtId="170" fontId="20" fillId="18" borderId="4" xfId="3" applyNumberFormat="1" applyBorder="1"/>
    <xf numFmtId="170" fontId="20" fillId="18" borderId="6" xfId="3" applyNumberFormat="1" applyBorder="1"/>
    <xf numFmtId="171" fontId="20" fillId="18" borderId="5" xfId="3" applyNumberFormat="1" applyBorder="1"/>
    <xf numFmtId="171" fontId="20" fillId="18" borderId="7" xfId="3" applyNumberFormat="1" applyBorder="1"/>
    <xf numFmtId="171" fontId="0" fillId="0" borderId="0" xfId="0" applyNumberFormat="1"/>
    <xf numFmtId="171" fontId="20" fillId="18" borderId="4" xfId="3" applyNumberFormat="1" applyBorder="1"/>
    <xf numFmtId="171" fontId="20" fillId="18" borderId="6" xfId="3" applyNumberFormat="1" applyBorder="1"/>
    <xf numFmtId="172" fontId="20" fillId="18" borderId="5" xfId="3" applyNumberFormat="1" applyBorder="1"/>
    <xf numFmtId="172" fontId="20" fillId="18" borderId="7" xfId="3" applyNumberFormat="1" applyBorder="1"/>
    <xf numFmtId="172" fontId="0" fillId="0" borderId="0" xfId="0" applyNumberFormat="1"/>
    <xf numFmtId="172" fontId="20" fillId="18" borderId="4" xfId="3" applyNumberFormat="1" applyBorder="1"/>
    <xf numFmtId="172" fontId="20" fillId="18" borderId="6" xfId="3" applyNumberFormat="1" applyBorder="1"/>
    <xf numFmtId="169" fontId="20" fillId="18" borderId="5" xfId="3" applyNumberFormat="1" applyBorder="1" applyAlignment="1">
      <alignment horizontal="center"/>
    </xf>
    <xf numFmtId="169" fontId="20" fillId="18" borderId="7" xfId="3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0" fillId="18" borderId="4" xfId="3" applyNumberFormat="1" applyBorder="1" applyAlignment="1">
      <alignment horizontal="center"/>
    </xf>
    <xf numFmtId="169" fontId="20" fillId="18" borderId="6" xfId="3" applyNumberFormat="1" applyBorder="1" applyAlignment="1">
      <alignment horizontal="center"/>
    </xf>
    <xf numFmtId="0" fontId="5" fillId="0" borderId="0" xfId="2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7" xfId="2" applyFont="1" applyFill="1" applyBorder="1" applyAlignment="1">
      <alignment horizontal="center"/>
    </xf>
    <xf numFmtId="0" fontId="13" fillId="4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4">
    <cellStyle name="Gut" xfId="3" builtinId="26"/>
    <cellStyle name="Standard" xfId="0" builtinId="0"/>
    <cellStyle name="Standard 2" xfId="2" xr:uid="{00000000-0005-0000-0000-000001000000}"/>
    <cellStyle name="Standard_Tabelle1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'20260129_01_mais.csv'!$A$4:$A$17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'20260129_01_mais.csv'!$E$4:$E$17</c:f>
              <c:numCache>
                <c:formatCode>General</c:formatCode>
                <c:ptCount val="14"/>
                <c:pt idx="0">
                  <c:v>0</c:v>
                </c:pt>
                <c:pt idx="1">
                  <c:v>4.8240658336467552</c:v>
                </c:pt>
                <c:pt idx="2">
                  <c:v>5.8714234601649489</c:v>
                </c:pt>
                <c:pt idx="3">
                  <c:v>7.1319966353774253</c:v>
                </c:pt>
                <c:pt idx="4">
                  <c:v>11.134457872383468</c:v>
                </c:pt>
                <c:pt idx="5">
                  <c:v>14.860397996027297</c:v>
                </c:pt>
                <c:pt idx="6">
                  <c:v>16.699135843768307</c:v>
                </c:pt>
                <c:pt idx="7">
                  <c:v>19.108694026573996</c:v>
                </c:pt>
                <c:pt idx="8">
                  <c:v>19.631444193386749</c:v>
                </c:pt>
                <c:pt idx="9">
                  <c:v>18.885971933897007</c:v>
                </c:pt>
                <c:pt idx="10">
                  <c:v>17.348414571816075</c:v>
                </c:pt>
                <c:pt idx="11">
                  <c:v>16.353980053698336</c:v>
                </c:pt>
                <c:pt idx="12">
                  <c:v>15.170139260501248</c:v>
                </c:pt>
                <c:pt idx="13">
                  <c:v>13.874347292970693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E-46EA-BB9E-953592B448D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'20260129_01_mais.csv'!$A$4:$A$17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'20260129_01_mais.csv'!$C$4:$C$17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4.6027800000000001</c:v>
                </c:pt>
                <c:pt idx="2">
                  <c:v>5.7006600000000001</c:v>
                </c:pt>
                <c:pt idx="3">
                  <c:v>7.1870400000000005</c:v>
                </c:pt>
                <c:pt idx="4">
                  <c:v>11.200559999999999</c:v>
                </c:pt>
                <c:pt idx="5">
                  <c:v>15.306899999999999</c:v>
                </c:pt>
                <c:pt idx="6">
                  <c:v>16.903739999999999</c:v>
                </c:pt>
                <c:pt idx="7">
                  <c:v>18.3414</c:v>
                </c:pt>
                <c:pt idx="8">
                  <c:v>19.083120000000001</c:v>
                </c:pt>
                <c:pt idx="9">
                  <c:v>19.468679999999999</c:v>
                </c:pt>
                <c:pt idx="10">
                  <c:v>17.69754</c:v>
                </c:pt>
                <c:pt idx="11">
                  <c:v>17.349360000000001</c:v>
                </c:pt>
                <c:pt idx="12">
                  <c:v>14.061599999999999</c:v>
                </c:pt>
                <c:pt idx="13">
                  <c:v>13.86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E-46EA-BB9E-953592B44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'20260129_01_mais.csv'!$A$4:$A$17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'20260129_01_mais.csv'!$G$4:$G$17</c:f>
              <c:numCache>
                <c:formatCode>0.00</c:formatCode>
                <c:ptCount val="14"/>
                <c:pt idx="0">
                  <c:v>0</c:v>
                </c:pt>
                <c:pt idx="1">
                  <c:v>5.1067184091029292</c:v>
                </c:pt>
                <c:pt idx="2">
                  <c:v>6.1529338734237946</c:v>
                </c:pt>
                <c:pt idx="3">
                  <c:v>7.3873939685390644</c:v>
                </c:pt>
                <c:pt idx="4">
                  <c:v>11.163048792503751</c:v>
                </c:pt>
                <c:pt idx="5">
                  <c:v>14.575373893985319</c:v>
                </c:pt>
                <c:pt idx="6">
                  <c:v>16.289535113542328</c:v>
                </c:pt>
                <c:pt idx="7">
                  <c:v>18.79093087922557</c:v>
                </c:pt>
                <c:pt idx="8">
                  <c:v>19.741505279904615</c:v>
                </c:pt>
                <c:pt idx="9">
                  <c:v>19.310449399454942</c:v>
                </c:pt>
                <c:pt idx="10">
                  <c:v>17.626396845207573</c:v>
                </c:pt>
                <c:pt idx="11">
                  <c:v>16.437895119698144</c:v>
                </c:pt>
                <c:pt idx="12">
                  <c:v>15.055294122388414</c:v>
                </c:pt>
                <c:pt idx="13">
                  <c:v>13.634047887852899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D9-4B55-AD8A-741EE6BBC8E6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'20260129_01_mais.csv'!$A$4:$A$17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'20260129_01_mais.csv'!$C$4:$C$17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4.6027800000000001</c:v>
                </c:pt>
                <c:pt idx="2">
                  <c:v>5.7006600000000001</c:v>
                </c:pt>
                <c:pt idx="3">
                  <c:v>7.1870400000000005</c:v>
                </c:pt>
                <c:pt idx="4">
                  <c:v>11.200559999999999</c:v>
                </c:pt>
                <c:pt idx="5">
                  <c:v>15.306899999999999</c:v>
                </c:pt>
                <c:pt idx="6">
                  <c:v>16.903739999999999</c:v>
                </c:pt>
                <c:pt idx="7">
                  <c:v>18.3414</c:v>
                </c:pt>
                <c:pt idx="8">
                  <c:v>19.083120000000001</c:v>
                </c:pt>
                <c:pt idx="9">
                  <c:v>19.468679999999999</c:v>
                </c:pt>
                <c:pt idx="10">
                  <c:v>17.69754</c:v>
                </c:pt>
                <c:pt idx="11">
                  <c:v>17.349360000000001</c:v>
                </c:pt>
                <c:pt idx="12">
                  <c:v>14.061599999999999</c:v>
                </c:pt>
                <c:pt idx="13">
                  <c:v>13.86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D9-4B55-AD8A-741EE6BBC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'20260129_02_ackerbohne.csv'!$A$4:$A$17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'20260129_02_ackerbohne.csv'!$E$4:$E$17</c:f>
              <c:numCache>
                <c:formatCode>General</c:formatCode>
                <c:ptCount val="14"/>
                <c:pt idx="0">
                  <c:v>0</c:v>
                </c:pt>
                <c:pt idx="1">
                  <c:v>13.498648968473566</c:v>
                </c:pt>
                <c:pt idx="2">
                  <c:v>16.810491985752158</c:v>
                </c:pt>
                <c:pt idx="3">
                  <c:v>21.027789857607633</c:v>
                </c:pt>
                <c:pt idx="4">
                  <c:v>36.648644736441447</c:v>
                </c:pt>
                <c:pt idx="5">
                  <c:v>56.372473065273084</c:v>
                </c:pt>
                <c:pt idx="6">
                  <c:v>70.003263740290407</c:v>
                </c:pt>
                <c:pt idx="7">
                  <c:v>101.20717315349023</c:v>
                </c:pt>
                <c:pt idx="8">
                  <c:v>131.45052250410419</c:v>
                </c:pt>
                <c:pt idx="9">
                  <c:v>157.43103489938332</c:v>
                </c:pt>
                <c:pt idx="10">
                  <c:v>170.19944288333133</c:v>
                </c:pt>
                <c:pt idx="11">
                  <c:v>169.40921582482187</c:v>
                </c:pt>
                <c:pt idx="12">
                  <c:v>163.35980797430184</c:v>
                </c:pt>
                <c:pt idx="13">
                  <c:v>153.00227660886213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47-42C6-9EAA-BAC0A567B1B7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'20260129_02_ackerbohne.csv'!$A$4:$A$17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'20260129_02_ackerbohne.csv'!$C$4:$C$17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11.23668</c:v>
                </c:pt>
                <c:pt idx="2">
                  <c:v>14.200199999999997</c:v>
                </c:pt>
                <c:pt idx="3">
                  <c:v>17.941559999999999</c:v>
                </c:pt>
                <c:pt idx="4">
                  <c:v>31.988040000000002</c:v>
                </c:pt>
                <c:pt idx="5">
                  <c:v>51.048899999999996</c:v>
                </c:pt>
                <c:pt idx="6">
                  <c:v>67.210080000000005</c:v>
                </c:pt>
                <c:pt idx="7">
                  <c:v>103.37879999999998</c:v>
                </c:pt>
                <c:pt idx="8">
                  <c:v>138.73944</c:v>
                </c:pt>
                <c:pt idx="9">
                  <c:v>160.91460000000001</c:v>
                </c:pt>
                <c:pt idx="10">
                  <c:v>165.99072000000001</c:v>
                </c:pt>
                <c:pt idx="11">
                  <c:v>166.70471999999998</c:v>
                </c:pt>
                <c:pt idx="12">
                  <c:v>162.17711999999997</c:v>
                </c:pt>
                <c:pt idx="13">
                  <c:v>155.92499999999998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47-42C6-9EAA-BAC0A567B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'20260129_02_ackerbohne.csv'!$A$4:$A$17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'20260129_02_ackerbohne.csv'!$G$4:$G$17</c:f>
              <c:numCache>
                <c:formatCode>0.00</c:formatCode>
                <c:ptCount val="14"/>
                <c:pt idx="0">
                  <c:v>0</c:v>
                </c:pt>
                <c:pt idx="1">
                  <c:v>12.721725004058344</c:v>
                </c:pt>
                <c:pt idx="2">
                  <c:v>15.882444857212413</c:v>
                </c:pt>
                <c:pt idx="3">
                  <c:v>19.929438965460445</c:v>
                </c:pt>
                <c:pt idx="4">
                  <c:v>35.130436083323133</c:v>
                </c:pt>
                <c:pt idx="5">
                  <c:v>54.774104329049543</c:v>
                </c:pt>
                <c:pt idx="6">
                  <c:v>68.617037695990277</c:v>
                </c:pt>
                <c:pt idx="7">
                  <c:v>100.97233382553351</c:v>
                </c:pt>
                <c:pt idx="8">
                  <c:v>132.80092239559252</c:v>
                </c:pt>
                <c:pt idx="9">
                  <c:v>159.65704435672424</c:v>
                </c:pt>
                <c:pt idx="10">
                  <c:v>171.3174780607211</c:v>
                </c:pt>
                <c:pt idx="11">
                  <c:v>169.43252184033184</c:v>
                </c:pt>
                <c:pt idx="12">
                  <c:v>162.36225679209616</c:v>
                </c:pt>
                <c:pt idx="13">
                  <c:v>151.54872207951828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6-4F61-BEB9-65175B16BE2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'20260129_02_ackerbohne.csv'!$A$4:$A$17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'20260129_02_ackerbohne.csv'!$C$4:$C$17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11.23668</c:v>
                </c:pt>
                <c:pt idx="2">
                  <c:v>14.200199999999997</c:v>
                </c:pt>
                <c:pt idx="3">
                  <c:v>17.941559999999999</c:v>
                </c:pt>
                <c:pt idx="4">
                  <c:v>31.988040000000002</c:v>
                </c:pt>
                <c:pt idx="5">
                  <c:v>51.048899999999996</c:v>
                </c:pt>
                <c:pt idx="6">
                  <c:v>67.210080000000005</c:v>
                </c:pt>
                <c:pt idx="7">
                  <c:v>103.37879999999998</c:v>
                </c:pt>
                <c:pt idx="8">
                  <c:v>138.73944</c:v>
                </c:pt>
                <c:pt idx="9">
                  <c:v>160.91460000000001</c:v>
                </c:pt>
                <c:pt idx="10">
                  <c:v>165.99072000000001</c:v>
                </c:pt>
                <c:pt idx="11">
                  <c:v>166.70471999999998</c:v>
                </c:pt>
                <c:pt idx="12">
                  <c:v>162.17711999999997</c:v>
                </c:pt>
                <c:pt idx="13">
                  <c:v>155.92499999999998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6-4F61-BEB9-65175B16B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'20260129_03_weizen.csv'!$A$4:$A$17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'20260129_03_weizen.csv'!$E$4:$E$17</c:f>
              <c:numCache>
                <c:formatCode>General</c:formatCode>
                <c:ptCount val="14"/>
                <c:pt idx="0">
                  <c:v>0</c:v>
                </c:pt>
                <c:pt idx="1">
                  <c:v>14.175652818325423</c:v>
                </c:pt>
                <c:pt idx="2">
                  <c:v>17.557458457041459</c:v>
                </c:pt>
                <c:pt idx="3">
                  <c:v>21.807965155855307</c:v>
                </c:pt>
                <c:pt idx="4">
                  <c:v>36.993878777041949</c:v>
                </c:pt>
                <c:pt idx="5">
                  <c:v>54.857703413329659</c:v>
                </c:pt>
                <c:pt idx="6">
                  <c:v>66.293700763302169</c:v>
                </c:pt>
                <c:pt idx="7">
                  <c:v>89.360152403171455</c:v>
                </c:pt>
                <c:pt idx="8">
                  <c:v>106.71667986788792</c:v>
                </c:pt>
                <c:pt idx="9">
                  <c:v>115.51951980218693</c:v>
                </c:pt>
                <c:pt idx="10">
                  <c:v>112.6163974871987</c:v>
                </c:pt>
                <c:pt idx="11">
                  <c:v>107.15990873977093</c:v>
                </c:pt>
                <c:pt idx="12">
                  <c:v>99.41951247687588</c:v>
                </c:pt>
                <c:pt idx="13">
                  <c:v>90.411237308460642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FA-46CF-9723-298693B98BD5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'20260129_03_weizen.csv'!$A$4:$A$17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'20260129_03_weizen.csv'!$C$4:$C$17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10.82718</c:v>
                </c:pt>
                <c:pt idx="2">
                  <c:v>13.274099999999999</c:v>
                </c:pt>
                <c:pt idx="3">
                  <c:v>17.576999999999998</c:v>
                </c:pt>
                <c:pt idx="4">
                  <c:v>31.03884</c:v>
                </c:pt>
                <c:pt idx="5">
                  <c:v>50.504999999999995</c:v>
                </c:pt>
                <c:pt idx="6">
                  <c:v>66.400319999999994</c:v>
                </c:pt>
                <c:pt idx="7">
                  <c:v>96.208979999999997</c:v>
                </c:pt>
                <c:pt idx="8">
                  <c:v>113.72507999999999</c:v>
                </c:pt>
                <c:pt idx="9">
                  <c:v>114.82548</c:v>
                </c:pt>
                <c:pt idx="10">
                  <c:v>106.79549999999999</c:v>
                </c:pt>
                <c:pt idx="11">
                  <c:v>104.85048</c:v>
                </c:pt>
                <c:pt idx="12">
                  <c:v>98.43119999999999</c:v>
                </c:pt>
                <c:pt idx="13">
                  <c:v>94.71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FA-46CF-9723-298693B98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'20260129_03_weizen.csv'!$A$4:$A$17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'20260129_03_weizen.csv'!$G$4:$G$17</c:f>
              <c:numCache>
                <c:formatCode>0.00</c:formatCode>
                <c:ptCount val="14"/>
                <c:pt idx="0">
                  <c:v>0</c:v>
                </c:pt>
                <c:pt idx="1">
                  <c:v>13.262788090950917</c:v>
                </c:pt>
                <c:pt idx="2">
                  <c:v>16.485030694142004</c:v>
                </c:pt>
                <c:pt idx="3">
                  <c:v>20.566680697428072</c:v>
                </c:pt>
                <c:pt idx="4">
                  <c:v>35.435520074918323</c:v>
                </c:pt>
                <c:pt idx="5">
                  <c:v>53.486573648048271</c:v>
                </c:pt>
                <c:pt idx="6">
                  <c:v>65.346213673501467</c:v>
                </c:pt>
                <c:pt idx="7">
                  <c:v>89.90703461358234</c:v>
                </c:pt>
                <c:pt idx="8">
                  <c:v>108.75484786908368</c:v>
                </c:pt>
                <c:pt idx="9">
                  <c:v>117.97935045762844</c:v>
                </c:pt>
                <c:pt idx="10">
                  <c:v>113.63279466938926</c:v>
                </c:pt>
                <c:pt idx="11">
                  <c:v>106.91936311019145</c:v>
                </c:pt>
                <c:pt idx="12">
                  <c:v>97.84965221372704</c:v>
                </c:pt>
                <c:pt idx="13">
                  <c:v>87.902776162283558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3-43FC-9307-5EF37DC24C72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'20260129_03_weizen.csv'!$A$4:$A$17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'20260129_03_weizen.csv'!$C$4:$C$17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10.82718</c:v>
                </c:pt>
                <c:pt idx="2">
                  <c:v>13.274099999999999</c:v>
                </c:pt>
                <c:pt idx="3">
                  <c:v>17.576999999999998</c:v>
                </c:pt>
                <c:pt idx="4">
                  <c:v>31.03884</c:v>
                </c:pt>
                <c:pt idx="5">
                  <c:v>50.504999999999995</c:v>
                </c:pt>
                <c:pt idx="6">
                  <c:v>66.400319999999994</c:v>
                </c:pt>
                <c:pt idx="7">
                  <c:v>96.208979999999997</c:v>
                </c:pt>
                <c:pt idx="8">
                  <c:v>113.72507999999999</c:v>
                </c:pt>
                <c:pt idx="9">
                  <c:v>114.82548</c:v>
                </c:pt>
                <c:pt idx="10">
                  <c:v>106.79549999999999</c:v>
                </c:pt>
                <c:pt idx="11">
                  <c:v>104.85048</c:v>
                </c:pt>
                <c:pt idx="12">
                  <c:v>98.43119999999999</c:v>
                </c:pt>
                <c:pt idx="13">
                  <c:v>94.71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3-43FC-9307-5EF37DC24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'20260129_04_weizen.csv'!$A$4:$A$17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'20260129_04_weizen.csv'!$E$4:$E$17</c:f>
              <c:numCache>
                <c:formatCode>General</c:formatCode>
                <c:ptCount val="14"/>
                <c:pt idx="0">
                  <c:v>0</c:v>
                </c:pt>
                <c:pt idx="1">
                  <c:v>14.659154441996792</c:v>
                </c:pt>
                <c:pt idx="2">
                  <c:v>18.045149768542561</c:v>
                </c:pt>
                <c:pt idx="3">
                  <c:v>22.238044468119263</c:v>
                </c:pt>
                <c:pt idx="4">
                  <c:v>36.622288973288221</c:v>
                </c:pt>
                <c:pt idx="5">
                  <c:v>52.256744497739767</c:v>
                </c:pt>
                <c:pt idx="6">
                  <c:v>61.451515476970414</c:v>
                </c:pt>
                <c:pt idx="7">
                  <c:v>77.674989769676031</c:v>
                </c:pt>
                <c:pt idx="8">
                  <c:v>87.03296287120277</c:v>
                </c:pt>
                <c:pt idx="9">
                  <c:v>89.387698808687901</c:v>
                </c:pt>
                <c:pt idx="10">
                  <c:v>85.640612637268632</c:v>
                </c:pt>
                <c:pt idx="11">
                  <c:v>82.225548402689768</c:v>
                </c:pt>
                <c:pt idx="12">
                  <c:v>77.897076145028819</c:v>
                </c:pt>
                <c:pt idx="13">
                  <c:v>73.000192139559488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1-4B7D-8969-1DC2669ECA60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'20260129_04_weizen.csv'!$A$4:$A$17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'20260129_04_weizen.csv'!$C$4:$C$17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10.647</c:v>
                </c:pt>
                <c:pt idx="2">
                  <c:v>13.479899999999999</c:v>
                </c:pt>
                <c:pt idx="3">
                  <c:v>17.785320000000002</c:v>
                </c:pt>
                <c:pt idx="4">
                  <c:v>31.418519999999997</c:v>
                </c:pt>
                <c:pt idx="5">
                  <c:v>50.427299999999995</c:v>
                </c:pt>
                <c:pt idx="6">
                  <c:v>64.679580000000001</c:v>
                </c:pt>
                <c:pt idx="7">
                  <c:v>86.538060000000002</c:v>
                </c:pt>
                <c:pt idx="8">
                  <c:v>90.515879999999996</c:v>
                </c:pt>
                <c:pt idx="9">
                  <c:v>85.423799999999986</c:v>
                </c:pt>
                <c:pt idx="10">
                  <c:v>80.554320000000004</c:v>
                </c:pt>
                <c:pt idx="11">
                  <c:v>79.203599999999994</c:v>
                </c:pt>
                <c:pt idx="12">
                  <c:v>79.682400000000015</c:v>
                </c:pt>
                <c:pt idx="13">
                  <c:v>76.23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1-4B7D-8969-1DC2669EC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'20260129_04_weizen.csv'!$A$4:$A$17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'20260129_04_weizen.csv'!$G$4:$G$17</c:f>
              <c:numCache>
                <c:formatCode>0.00</c:formatCode>
                <c:ptCount val="14"/>
                <c:pt idx="0">
                  <c:v>0</c:v>
                </c:pt>
                <c:pt idx="1">
                  <c:v>14.500470398448504</c:v>
                </c:pt>
                <c:pt idx="2">
                  <c:v>17.831794989994489</c:v>
                </c:pt>
                <c:pt idx="3">
                  <c:v>21.950082254793472</c:v>
                </c:pt>
                <c:pt idx="4">
                  <c:v>36.046778880727956</c:v>
                </c:pt>
                <c:pt idx="5">
                  <c:v>51.414821786033578</c:v>
                </c:pt>
                <c:pt idx="6">
                  <c:v>60.565784276522855</c:v>
                </c:pt>
                <c:pt idx="7">
                  <c:v>77.30862403748695</c:v>
                </c:pt>
                <c:pt idx="8">
                  <c:v>88.02061183427017</c:v>
                </c:pt>
                <c:pt idx="9">
                  <c:v>91.718314308355332</c:v>
                </c:pt>
                <c:pt idx="10">
                  <c:v>87.357778498099378</c:v>
                </c:pt>
                <c:pt idx="11">
                  <c:v>82.598328938636968</c:v>
                </c:pt>
                <c:pt idx="12">
                  <c:v>76.399338474406463</c:v>
                </c:pt>
                <c:pt idx="13">
                  <c:v>69.604824225417985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A-48AF-AE94-E39B71925DBB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'20260129_04_weizen.csv'!$A$4:$A$17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'20260129_04_weizen.csv'!$C$4:$C$17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10.647</c:v>
                </c:pt>
                <c:pt idx="2">
                  <c:v>13.479899999999999</c:v>
                </c:pt>
                <c:pt idx="3">
                  <c:v>17.785320000000002</c:v>
                </c:pt>
                <c:pt idx="4">
                  <c:v>31.418519999999997</c:v>
                </c:pt>
                <c:pt idx="5">
                  <c:v>50.427299999999995</c:v>
                </c:pt>
                <c:pt idx="6">
                  <c:v>64.679580000000001</c:v>
                </c:pt>
                <c:pt idx="7">
                  <c:v>86.538060000000002</c:v>
                </c:pt>
                <c:pt idx="8">
                  <c:v>90.515879999999996</c:v>
                </c:pt>
                <c:pt idx="9">
                  <c:v>85.423799999999986</c:v>
                </c:pt>
                <c:pt idx="10">
                  <c:v>80.554320000000004</c:v>
                </c:pt>
                <c:pt idx="11">
                  <c:v>79.203599999999994</c:v>
                </c:pt>
                <c:pt idx="12">
                  <c:v>79.682400000000015</c:v>
                </c:pt>
                <c:pt idx="13">
                  <c:v>76.23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A-48AF-AE94-E39B71925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'20260129_05_ackerbohne.csv'!$A$4:$A$17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'20260129_05_ackerbohne.csv'!$E$4:$E$17</c:f>
              <c:numCache>
                <c:formatCode>General</c:formatCode>
                <c:ptCount val="14"/>
                <c:pt idx="0">
                  <c:v>0</c:v>
                </c:pt>
                <c:pt idx="1">
                  <c:v>14.453463382408181</c:v>
                </c:pt>
                <c:pt idx="2">
                  <c:v>17.962863971988785</c:v>
                </c:pt>
                <c:pt idx="3">
                  <c:v>22.410148694674906</c:v>
                </c:pt>
                <c:pt idx="4">
                  <c:v>38.664464473830698</c:v>
                </c:pt>
                <c:pt idx="5">
                  <c:v>58.662459368906944</c:v>
                </c:pt>
                <c:pt idx="6">
                  <c:v>72.106404444648902</c:v>
                </c:pt>
                <c:pt idx="7">
                  <c:v>101.5336059620211</c:v>
                </c:pt>
                <c:pt idx="8">
                  <c:v>127.75415075415788</c:v>
                </c:pt>
                <c:pt idx="9">
                  <c:v>147.27177764277542</c:v>
                </c:pt>
                <c:pt idx="10">
                  <c:v>153.32866310332616</c:v>
                </c:pt>
                <c:pt idx="11">
                  <c:v>150.43092588052727</c:v>
                </c:pt>
                <c:pt idx="12">
                  <c:v>143.73747703441387</c:v>
                </c:pt>
                <c:pt idx="13">
                  <c:v>134.36680868763494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6-4BB8-85B2-ABE18ADF7546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'20260129_05_ackerbohne.csv'!$A$4:$A$17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'20260129_05_ackerbohne.csv'!$C$4:$C$17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11.285819999999999</c:v>
                </c:pt>
                <c:pt idx="2">
                  <c:v>14.241359999999997</c:v>
                </c:pt>
                <c:pt idx="3">
                  <c:v>18.175919999999998</c:v>
                </c:pt>
                <c:pt idx="4">
                  <c:v>33.079619999999998</c:v>
                </c:pt>
                <c:pt idx="5">
                  <c:v>53.302199999999999</c:v>
                </c:pt>
                <c:pt idx="6">
                  <c:v>70.044239999999988</c:v>
                </c:pt>
                <c:pt idx="7">
                  <c:v>107.38056</c:v>
                </c:pt>
                <c:pt idx="8">
                  <c:v>134.87124</c:v>
                </c:pt>
                <c:pt idx="9">
                  <c:v>148.59768</c:v>
                </c:pt>
                <c:pt idx="10">
                  <c:v>148.90343999999999</c:v>
                </c:pt>
                <c:pt idx="11">
                  <c:v>147.0924</c:v>
                </c:pt>
                <c:pt idx="12">
                  <c:v>143.42831999999999</c:v>
                </c:pt>
                <c:pt idx="13">
                  <c:v>137.44499999999999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6-4BB8-85B2-ABE18ADF7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'20260129_05_ackerbohne.csv'!$A$4:$A$17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'20260129_05_ackerbohne.csv'!$G$4:$G$17</c:f>
              <c:numCache>
                <c:formatCode>0.00</c:formatCode>
                <c:ptCount val="14"/>
                <c:pt idx="0">
                  <c:v>0</c:v>
                </c:pt>
                <c:pt idx="1">
                  <c:v>13.731356890554737</c:v>
                </c:pt>
                <c:pt idx="2">
                  <c:v>17.10372798686014</c:v>
                </c:pt>
                <c:pt idx="3">
                  <c:v>21.39857404640356</c:v>
                </c:pt>
                <c:pt idx="4">
                  <c:v>37.293810198620008</c:v>
                </c:pt>
                <c:pt idx="5">
                  <c:v>57.260139608111203</c:v>
                </c:pt>
                <c:pt idx="6">
                  <c:v>70.920538696955518</c:v>
                </c:pt>
                <c:pt idx="7">
                  <c:v>101.39789321302882</c:v>
                </c:pt>
                <c:pt idx="8">
                  <c:v>129.00506860780257</c:v>
                </c:pt>
                <c:pt idx="9">
                  <c:v>149.38854215305892</c:v>
                </c:pt>
                <c:pt idx="10">
                  <c:v>154.71984487733948</c:v>
                </c:pt>
                <c:pt idx="11">
                  <c:v>150.79161948832922</c:v>
                </c:pt>
                <c:pt idx="12">
                  <c:v>142.73731053821956</c:v>
                </c:pt>
                <c:pt idx="13">
                  <c:v>132.03751752324362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5E-4FA2-A17C-3C2B2A80AB2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'20260129_05_ackerbohne.csv'!$A$4:$A$17</c:f>
              <c:numCache>
                <c:formatCode>General</c:formatCode>
                <c:ptCount val="14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</c:numCache>
            </c:numRef>
          </c:xVal>
          <c:yVal>
            <c:numRef>
              <c:f>'20260129_05_ackerbohne.csv'!$C$4:$C$17</c:f>
              <c:numCache>
                <c:formatCode>General</c:formatCode>
                <c:ptCount val="14"/>
                <c:pt idx="0">
                  <c:v>0</c:v>
                </c:pt>
                <c:pt idx="1">
                  <c:v>11.285819999999999</c:v>
                </c:pt>
                <c:pt idx="2">
                  <c:v>14.241359999999997</c:v>
                </c:pt>
                <c:pt idx="3">
                  <c:v>18.175919999999998</c:v>
                </c:pt>
                <c:pt idx="4">
                  <c:v>33.079619999999998</c:v>
                </c:pt>
                <c:pt idx="5">
                  <c:v>53.302199999999999</c:v>
                </c:pt>
                <c:pt idx="6">
                  <c:v>70.044239999999988</c:v>
                </c:pt>
                <c:pt idx="7">
                  <c:v>107.38056</c:v>
                </c:pt>
                <c:pt idx="8">
                  <c:v>134.87124</c:v>
                </c:pt>
                <c:pt idx="9">
                  <c:v>148.59768</c:v>
                </c:pt>
                <c:pt idx="10">
                  <c:v>148.90343999999999</c:v>
                </c:pt>
                <c:pt idx="11">
                  <c:v>147.0924</c:v>
                </c:pt>
                <c:pt idx="12">
                  <c:v>143.42831999999999</c:v>
                </c:pt>
                <c:pt idx="13">
                  <c:v>137.44499999999999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5E-4FA2-A17C-3C2B2A80A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'20260130_02_weizen.csv'!$A$4:$A$18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  <c:pt idx="14">
                  <c:v>3348</c:v>
                </c:pt>
              </c:numCache>
            </c:numRef>
          </c:xVal>
          <c:yVal>
            <c:numRef>
              <c:f>'20260130_02_weizen.csv'!$E$4:$E$18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10.456010265730365</c:v>
                </c:pt>
                <c:pt idx="2">
                  <c:v>12.852521224291708</c:v>
                </c:pt>
                <c:pt idx="3">
                  <c:v>15.808953943300638</c:v>
                </c:pt>
                <c:pt idx="4">
                  <c:v>25.840108151917139</c:v>
                </c:pt>
                <c:pt idx="5">
                  <c:v>36.475112483417995</c:v>
                </c:pt>
                <c:pt idx="6">
                  <c:v>42.526572945057119</c:v>
                </c:pt>
                <c:pt idx="7">
                  <c:v>52.444907191225298</c:v>
                </c:pt>
                <c:pt idx="8">
                  <c:v>56.692845862949156</c:v>
                </c:pt>
                <c:pt idx="9">
                  <c:v>54.978884992979424</c:v>
                </c:pt>
                <c:pt idx="10">
                  <c:v>48.112417290026841</c:v>
                </c:pt>
                <c:pt idx="11">
                  <c:v>43.415839004461475</c:v>
                </c:pt>
                <c:pt idx="12">
                  <c:v>38.003260766360185</c:v>
                </c:pt>
                <c:pt idx="13">
                  <c:v>32.41782192984774</c:v>
                </c:pt>
                <c:pt idx="14">
                  <c:v>26.978501370977384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29-456A-ACC3-732942D85186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  <c:pt idx="14">
                  <c:v>3348</c:v>
                </c:pt>
              </c:numCache>
            </c:numRef>
          </c:xVal>
          <c:yVal>
            <c:numRef>
              <c:f>'20260130_02_weizen.csv'!$C$4:$C$18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6.879599999999999</c:v>
                </c:pt>
                <c:pt idx="2">
                  <c:v>9.7137599999999988</c:v>
                </c:pt>
                <c:pt idx="3">
                  <c:v>12.655439999999999</c:v>
                </c:pt>
                <c:pt idx="4">
                  <c:v>22.685879999999997</c:v>
                </c:pt>
                <c:pt idx="5">
                  <c:v>36.752099999999999</c:v>
                </c:pt>
                <c:pt idx="6">
                  <c:v>46.662419999999997</c:v>
                </c:pt>
                <c:pt idx="7">
                  <c:v>55.857900000000001</c:v>
                </c:pt>
                <c:pt idx="8">
                  <c:v>57.249359999999996</c:v>
                </c:pt>
                <c:pt idx="9">
                  <c:v>52.446239999999996</c:v>
                </c:pt>
                <c:pt idx="10">
                  <c:v>45.769499999999994</c:v>
                </c:pt>
                <c:pt idx="11">
                  <c:v>42.24192</c:v>
                </c:pt>
                <c:pt idx="12">
                  <c:v>40.309919999999998</c:v>
                </c:pt>
                <c:pt idx="13">
                  <c:v>33.494999999999997</c:v>
                </c:pt>
                <c:pt idx="14">
                  <c:v>26.717040000000001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29-456A-ACC3-732942D85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'20260130_02_weizen.csv'!$A$4:$A$18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  <c:pt idx="14">
                  <c:v>3348</c:v>
                </c:pt>
              </c:numCache>
            </c:numRef>
          </c:xVal>
          <c:yVal>
            <c:numRef>
              <c:f>'20260130_02_weizen.csv'!$G$4:$G$18</c:f>
              <c:numCache>
                <c:formatCode>0.00</c:formatCode>
                <c:ptCount val="15"/>
                <c:pt idx="0">
                  <c:v>0</c:v>
                </c:pt>
                <c:pt idx="1">
                  <c:v>9.6759239129247643</c:v>
                </c:pt>
                <c:pt idx="2">
                  <c:v>11.970771383376372</c:v>
                </c:pt>
                <c:pt idx="3">
                  <c:v>14.841562065572703</c:v>
                </c:pt>
                <c:pt idx="4">
                  <c:v>24.907730179752903</c:v>
                </c:pt>
                <c:pt idx="5">
                  <c:v>36.111360204339796</c:v>
                </c:pt>
                <c:pt idx="6">
                  <c:v>42.707406978085075</c:v>
                </c:pt>
                <c:pt idx="7">
                  <c:v>53.743636946995515</c:v>
                </c:pt>
                <c:pt idx="8">
                  <c:v>58.279912049952756</c:v>
                </c:pt>
                <c:pt idx="9">
                  <c:v>55.713623483377219</c:v>
                </c:pt>
                <c:pt idx="10">
                  <c:v>47.454564362367357</c:v>
                </c:pt>
                <c:pt idx="11">
                  <c:v>42.309544502780291</c:v>
                </c:pt>
                <c:pt idx="12">
                  <c:v>36.880713688397599</c:v>
                </c:pt>
                <c:pt idx="13">
                  <c:v>31.828508170399743</c:v>
                </c:pt>
                <c:pt idx="14">
                  <c:v>27.389367738649309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9-4155-81BA-D29BA719E186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39</c:v>
                </c:pt>
                <c:pt idx="2">
                  <c:v>49</c:v>
                </c:pt>
                <c:pt idx="3">
                  <c:v>62</c:v>
                </c:pt>
                <c:pt idx="4">
                  <c:v>113</c:v>
                </c:pt>
                <c:pt idx="5">
                  <c:v>185</c:v>
                </c:pt>
                <c:pt idx="6">
                  <c:v>241</c:v>
                </c:pt>
                <c:pt idx="7">
                  <c:v>397</c:v>
                </c:pt>
                <c:pt idx="8">
                  <c:v>614</c:v>
                </c:pt>
                <c:pt idx="9">
                  <c:v>946</c:v>
                </c:pt>
                <c:pt idx="10">
                  <c:v>1453</c:v>
                </c:pt>
                <c:pt idx="11">
                  <c:v>1796</c:v>
                </c:pt>
                <c:pt idx="12">
                  <c:v>2232</c:v>
                </c:pt>
                <c:pt idx="13">
                  <c:v>2750</c:v>
                </c:pt>
                <c:pt idx="14">
                  <c:v>3348</c:v>
                </c:pt>
              </c:numCache>
            </c:numRef>
          </c:xVal>
          <c:yVal>
            <c:numRef>
              <c:f>'20260130_02_weizen.csv'!$C$4:$C$18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6.879599999999999</c:v>
                </c:pt>
                <c:pt idx="2">
                  <c:v>9.7137599999999988</c:v>
                </c:pt>
                <c:pt idx="3">
                  <c:v>12.655439999999999</c:v>
                </c:pt>
                <c:pt idx="4">
                  <c:v>22.685879999999997</c:v>
                </c:pt>
                <c:pt idx="5">
                  <c:v>36.752099999999999</c:v>
                </c:pt>
                <c:pt idx="6">
                  <c:v>46.662419999999997</c:v>
                </c:pt>
                <c:pt idx="7">
                  <c:v>55.857900000000001</c:v>
                </c:pt>
                <c:pt idx="8">
                  <c:v>57.249359999999996</c:v>
                </c:pt>
                <c:pt idx="9">
                  <c:v>52.446239999999996</c:v>
                </c:pt>
                <c:pt idx="10">
                  <c:v>45.769499999999994</c:v>
                </c:pt>
                <c:pt idx="11">
                  <c:v>42.24192</c:v>
                </c:pt>
                <c:pt idx="12">
                  <c:v>40.309919999999998</c:v>
                </c:pt>
                <c:pt idx="13">
                  <c:v>33.494999999999997</c:v>
                </c:pt>
                <c:pt idx="14">
                  <c:v>26.717040000000001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C9-4155-81BA-D29BA719E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'20260130_03_mais.csv'!$A$4:$A$18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'20260130_03_mais.csv'!$E$4:$E$18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2.7493606496793839</c:v>
                </c:pt>
                <c:pt idx="2">
                  <c:v>3.6744785817322181</c:v>
                </c:pt>
                <c:pt idx="3">
                  <c:v>4.7792058584872397</c:v>
                </c:pt>
                <c:pt idx="4">
                  <c:v>8.2103265007811093</c:v>
                </c:pt>
                <c:pt idx="5">
                  <c:v>11.252924765129178</c:v>
                </c:pt>
                <c:pt idx="6">
                  <c:v>12.659416205847787</c:v>
                </c:pt>
                <c:pt idx="7">
                  <c:v>14.235457372290538</c:v>
                </c:pt>
                <c:pt idx="8">
                  <c:v>14.155304073092928</c:v>
                </c:pt>
                <c:pt idx="9">
                  <c:v>12.978104193816009</c:v>
                </c:pt>
                <c:pt idx="10">
                  <c:v>11.109892961798423</c:v>
                </c:pt>
                <c:pt idx="11">
                  <c:v>9.9888115041752688</c:v>
                </c:pt>
                <c:pt idx="12">
                  <c:v>8.724937843200248</c:v>
                </c:pt>
                <c:pt idx="13">
                  <c:v>7.4294759973627071</c:v>
                </c:pt>
                <c:pt idx="14">
                  <c:v>6.1712521445617261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D1-47DA-9427-7A22D44C25A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'20260130_03_mais.csv'!$C$4:$C$18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2.4788399999999999</c:v>
                </c:pt>
                <c:pt idx="2">
                  <c:v>3.7497600000000002</c:v>
                </c:pt>
                <c:pt idx="3">
                  <c:v>5.1038399999999999</c:v>
                </c:pt>
                <c:pt idx="4">
                  <c:v>8.5259999999999998</c:v>
                </c:pt>
                <c:pt idx="5">
                  <c:v>11.269439999999999</c:v>
                </c:pt>
                <c:pt idx="6">
                  <c:v>12.640319999999999</c:v>
                </c:pt>
                <c:pt idx="7">
                  <c:v>13.54752</c:v>
                </c:pt>
                <c:pt idx="8">
                  <c:v>13.63068</c:v>
                </c:pt>
                <c:pt idx="9">
                  <c:v>12.53952</c:v>
                </c:pt>
                <c:pt idx="10">
                  <c:v>12.700800000000001</c:v>
                </c:pt>
                <c:pt idx="11">
                  <c:v>11.232899999999999</c:v>
                </c:pt>
                <c:pt idx="12">
                  <c:v>9.3198000000000008</c:v>
                </c:pt>
                <c:pt idx="13">
                  <c:v>5.7477</c:v>
                </c:pt>
                <c:pt idx="14">
                  <c:v>5.6027999999999993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D1-47DA-9427-7A22D44C2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'20260130_03_mais.csv'!$A$4:$A$18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'20260130_03_mais.csv'!$G$4:$G$18</c:f>
              <c:numCache>
                <c:formatCode>0.00</c:formatCode>
                <c:ptCount val="15"/>
                <c:pt idx="0">
                  <c:v>0</c:v>
                </c:pt>
                <c:pt idx="1">
                  <c:v>2.8784740021167172</c:v>
                </c:pt>
                <c:pt idx="2">
                  <c:v>3.8185188399788124</c:v>
                </c:pt>
                <c:pt idx="3">
                  <c:v>4.9239555659678444</c:v>
                </c:pt>
                <c:pt idx="4">
                  <c:v>8.2553337150416422</c:v>
                </c:pt>
                <c:pt idx="5">
                  <c:v>11.126680242247852</c:v>
                </c:pt>
                <c:pt idx="6">
                  <c:v>12.461150060317481</c:v>
                </c:pt>
                <c:pt idx="7">
                  <c:v>14.067389072468757</c:v>
                </c:pt>
                <c:pt idx="8">
                  <c:v>14.143896482294899</c:v>
                </c:pt>
                <c:pt idx="9">
                  <c:v>13.001192328457632</c:v>
                </c:pt>
                <c:pt idx="10">
                  <c:v>11.032761365222736</c:v>
                </c:pt>
                <c:pt idx="11">
                  <c:v>9.9106782068476349</c:v>
                </c:pt>
                <c:pt idx="12">
                  <c:v>8.7393561619259152</c:v>
                </c:pt>
                <c:pt idx="13">
                  <c:v>7.6418304454665602</c:v>
                </c:pt>
                <c:pt idx="14">
                  <c:v>6.6624333615514972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A-4AC5-B44F-6D8272A34E2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'20260130_03_mais.csv'!$C$4:$C$18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2.4788399999999999</c:v>
                </c:pt>
                <c:pt idx="2">
                  <c:v>3.7497600000000002</c:v>
                </c:pt>
                <c:pt idx="3">
                  <c:v>5.1038399999999999</c:v>
                </c:pt>
                <c:pt idx="4">
                  <c:v>8.5259999999999998</c:v>
                </c:pt>
                <c:pt idx="5">
                  <c:v>11.269439999999999</c:v>
                </c:pt>
                <c:pt idx="6">
                  <c:v>12.640319999999999</c:v>
                </c:pt>
                <c:pt idx="7">
                  <c:v>13.54752</c:v>
                </c:pt>
                <c:pt idx="8">
                  <c:v>13.63068</c:v>
                </c:pt>
                <c:pt idx="9">
                  <c:v>12.53952</c:v>
                </c:pt>
                <c:pt idx="10">
                  <c:v>12.700800000000001</c:v>
                </c:pt>
                <c:pt idx="11">
                  <c:v>11.232899999999999</c:v>
                </c:pt>
                <c:pt idx="12">
                  <c:v>9.3198000000000008</c:v>
                </c:pt>
                <c:pt idx="13">
                  <c:v>5.7477</c:v>
                </c:pt>
                <c:pt idx="14">
                  <c:v>5.6027999999999993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CA-4AC5-B44F-6D8272A34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'20260130_04_efeutute.csv'!$A$4:$A$18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'20260130_04_efeutute.csv'!$E$4:$E$18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5.3968298623249291</c:v>
                </c:pt>
                <c:pt idx="2">
                  <c:v>6.9213218264638661</c:v>
                </c:pt>
                <c:pt idx="3">
                  <c:v>8.5542321632429612</c:v>
                </c:pt>
                <c:pt idx="4">
                  <c:v>12.35907951273386</c:v>
                </c:pt>
                <c:pt idx="5">
                  <c:v>14.166164930733732</c:v>
                </c:pt>
                <c:pt idx="6">
                  <c:v>14.474819476344074</c:v>
                </c:pt>
                <c:pt idx="7">
                  <c:v>14.105401391153242</c:v>
                </c:pt>
                <c:pt idx="8">
                  <c:v>13.183464023473705</c:v>
                </c:pt>
                <c:pt idx="9">
                  <c:v>11.851192334733636</c:v>
                </c:pt>
                <c:pt idx="10">
                  <c:v>10.070771363790609</c:v>
                </c:pt>
                <c:pt idx="11">
                  <c:v>9.0205399571626597</c:v>
                </c:pt>
                <c:pt idx="12">
                  <c:v>7.8421256081114032</c:v>
                </c:pt>
                <c:pt idx="13">
                  <c:v>6.6404946054905869</c:v>
                </c:pt>
                <c:pt idx="14">
                  <c:v>5.4803882952404255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86-4FC1-BB42-F78EE0135727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'20260130_04_efeutute.csv'!$A$4:$A$18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'20260130_04_efeutute.csv'!$C$4:$C$18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4.0185599999999999</c:v>
                </c:pt>
                <c:pt idx="2">
                  <c:v>6.0933600000000006</c:v>
                </c:pt>
                <c:pt idx="3">
                  <c:v>8.86998</c:v>
                </c:pt>
                <c:pt idx="4">
                  <c:v>13.692</c:v>
                </c:pt>
                <c:pt idx="5">
                  <c:v>14.73696</c:v>
                </c:pt>
                <c:pt idx="6">
                  <c:v>14.74704</c:v>
                </c:pt>
                <c:pt idx="7">
                  <c:v>13.54752</c:v>
                </c:pt>
                <c:pt idx="8">
                  <c:v>12.36858</c:v>
                </c:pt>
                <c:pt idx="9">
                  <c:v>11.755799999999999</c:v>
                </c:pt>
                <c:pt idx="10">
                  <c:v>10.281599999999999</c:v>
                </c:pt>
                <c:pt idx="11">
                  <c:v>8.2374599999999987</c:v>
                </c:pt>
                <c:pt idx="12">
                  <c:v>8.3878199999999996</c:v>
                </c:pt>
                <c:pt idx="13">
                  <c:v>6.89724</c:v>
                </c:pt>
                <c:pt idx="14">
                  <c:v>5.6027999999999993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86-4FC1-BB42-F78EE013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'20260130_04_efeutute.csv'!$A$4:$A$18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'20260130_04_efeutute.csv'!$G$4:$G$18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5.5657913489502766</c:v>
                </c:pt>
                <c:pt idx="2">
                  <c:v>7.0035178429700693</c:v>
                </c:pt>
                <c:pt idx="3">
                  <c:v>8.5047355216576914</c:v>
                </c:pt>
                <c:pt idx="4">
                  <c:v>12.010465931250078</c:v>
                </c:pt>
                <c:pt idx="5">
                  <c:v>13.992255368965282</c:v>
                </c:pt>
                <c:pt idx="6">
                  <c:v>14.561742382465987</c:v>
                </c:pt>
                <c:pt idx="7">
                  <c:v>14.58807549032867</c:v>
                </c:pt>
                <c:pt idx="8">
                  <c:v>13.560525892155518</c:v>
                </c:pt>
                <c:pt idx="9">
                  <c:v>11.814213398771285</c:v>
                </c:pt>
                <c:pt idx="10">
                  <c:v>9.6967078973395395</c:v>
                </c:pt>
                <c:pt idx="11">
                  <c:v>8.6164301767539726</c:v>
                </c:pt>
                <c:pt idx="12">
                  <c:v>7.5357624969766581</c:v>
                </c:pt>
                <c:pt idx="13">
                  <c:v>6.5516561366150103</c:v>
                </c:pt>
                <c:pt idx="14">
                  <c:v>5.689605864464542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E5-46C9-87E6-ADC6BD3A12A7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'20260130_04_efeutute.csv'!$A$4:$A$18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'20260130_04_efeutute.csv'!$C$4:$C$18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4.0185599999999999</c:v>
                </c:pt>
                <c:pt idx="2">
                  <c:v>6.0933600000000006</c:v>
                </c:pt>
                <c:pt idx="3">
                  <c:v>8.86998</c:v>
                </c:pt>
                <c:pt idx="4">
                  <c:v>13.692</c:v>
                </c:pt>
                <c:pt idx="5">
                  <c:v>14.73696</c:v>
                </c:pt>
                <c:pt idx="6">
                  <c:v>14.74704</c:v>
                </c:pt>
                <c:pt idx="7">
                  <c:v>13.54752</c:v>
                </c:pt>
                <c:pt idx="8">
                  <c:v>12.36858</c:v>
                </c:pt>
                <c:pt idx="9">
                  <c:v>11.755799999999999</c:v>
                </c:pt>
                <c:pt idx="10">
                  <c:v>10.281599999999999</c:v>
                </c:pt>
                <c:pt idx="11">
                  <c:v>8.2374599999999987</c:v>
                </c:pt>
                <c:pt idx="12">
                  <c:v>8.3878199999999996</c:v>
                </c:pt>
                <c:pt idx="13">
                  <c:v>6.89724</c:v>
                </c:pt>
                <c:pt idx="14">
                  <c:v>5.6027999999999993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E5-46C9-87E6-ADC6BD3A1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'20260130_05_ackerbohne.csv'!$A$4:$A$18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'20260130_05_ackerbohne.csv'!$E$4:$E$18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9.6013361723667483</c:v>
                </c:pt>
                <c:pt idx="2">
                  <c:v>13.045793672933932</c:v>
                </c:pt>
                <c:pt idx="3">
                  <c:v>17.328833400870806</c:v>
                </c:pt>
                <c:pt idx="4">
                  <c:v>32.179800086982731</c:v>
                </c:pt>
                <c:pt idx="5">
                  <c:v>48.617808770592283</c:v>
                </c:pt>
                <c:pt idx="6">
                  <c:v>58.431381307701386</c:v>
                </c:pt>
                <c:pt idx="7">
                  <c:v>75.88043682867324</c:v>
                </c:pt>
                <c:pt idx="8">
                  <c:v>85.266689788489913</c:v>
                </c:pt>
                <c:pt idx="9">
                  <c:v>84.75976935220379</c:v>
                </c:pt>
                <c:pt idx="10">
                  <c:v>74.197471507835033</c:v>
                </c:pt>
                <c:pt idx="11">
                  <c:v>66.278456325140155</c:v>
                </c:pt>
                <c:pt idx="12">
                  <c:v>57.045411750929652</c:v>
                </c:pt>
                <c:pt idx="13">
                  <c:v>47.608502296117358</c:v>
                </c:pt>
                <c:pt idx="14">
                  <c:v>38.60963661142064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88-4DD5-BBC3-E466794C24F6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'20260130_05_ackerbohne.csv'!$A$4:$A$18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'20260130_05_ackerbohne.csv'!$C$4:$C$18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6.6393599999999999</c:v>
                </c:pt>
                <c:pt idx="2">
                  <c:v>9.6768000000000001</c:v>
                </c:pt>
                <c:pt idx="3">
                  <c:v>13.809180000000001</c:v>
                </c:pt>
                <c:pt idx="4">
                  <c:v>28.434000000000001</c:v>
                </c:pt>
                <c:pt idx="5">
                  <c:v>47.533920000000002</c:v>
                </c:pt>
                <c:pt idx="6">
                  <c:v>60.137279999999997</c:v>
                </c:pt>
                <c:pt idx="7">
                  <c:v>79.994879999999995</c:v>
                </c:pt>
                <c:pt idx="8">
                  <c:v>87.842159999999993</c:v>
                </c:pt>
                <c:pt idx="9">
                  <c:v>83.07432</c:v>
                </c:pt>
                <c:pt idx="10">
                  <c:v>71.366399999999999</c:v>
                </c:pt>
                <c:pt idx="11">
                  <c:v>64.401959999999988</c:v>
                </c:pt>
                <c:pt idx="12">
                  <c:v>57.782759999999996</c:v>
                </c:pt>
                <c:pt idx="13">
                  <c:v>49.430219999999991</c:v>
                </c:pt>
                <c:pt idx="14">
                  <c:v>39.2196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88-4DD5-BBC3-E466794C2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'20260130_05_ackerbohne.csv'!$A$4:$A$18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'20260130_05_ackerbohne.csv'!$G$4:$G$18</c:f>
              <c:numCache>
                <c:formatCode>0.00</c:formatCode>
                <c:ptCount val="15"/>
                <c:pt idx="0">
                  <c:v>0</c:v>
                </c:pt>
                <c:pt idx="1">
                  <c:v>8.4833260041547405</c:v>
                </c:pt>
                <c:pt idx="2">
                  <c:v>11.63362411916826</c:v>
                </c:pt>
                <c:pt idx="3">
                  <c:v>15.630426682897459</c:v>
                </c:pt>
                <c:pt idx="4">
                  <c:v>30.172831787200934</c:v>
                </c:pt>
                <c:pt idx="5">
                  <c:v>47.466670189453545</c:v>
                </c:pt>
                <c:pt idx="6">
                  <c:v>58.316772108564201</c:v>
                </c:pt>
                <c:pt idx="7">
                  <c:v>78.105033085869778</c:v>
                </c:pt>
                <c:pt idx="8">
                  <c:v>87.988660527804541</c:v>
                </c:pt>
                <c:pt idx="9">
                  <c:v>85.47803792439521</c:v>
                </c:pt>
                <c:pt idx="10">
                  <c:v>72.538518709876669</c:v>
                </c:pt>
                <c:pt idx="11">
                  <c:v>64.259253409442081</c:v>
                </c:pt>
                <c:pt idx="12">
                  <c:v>55.561111343730069</c:v>
                </c:pt>
                <c:pt idx="13">
                  <c:v>47.55281913331482</c:v>
                </c:pt>
                <c:pt idx="14">
                  <c:v>40.605758974411387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3-4530-A311-45F9E18BAB83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'20260130_05_ackerbohne.csv'!$A$4:$A$18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26</c:v>
                </c:pt>
                <c:pt idx="2">
                  <c:v>36</c:v>
                </c:pt>
                <c:pt idx="3">
                  <c:v>49</c:v>
                </c:pt>
                <c:pt idx="4">
                  <c:v>100</c:v>
                </c:pt>
                <c:pt idx="5">
                  <c:v>172</c:v>
                </c:pt>
                <c:pt idx="6">
                  <c:v>228</c:v>
                </c:pt>
                <c:pt idx="7">
                  <c:v>384</c:v>
                </c:pt>
                <c:pt idx="8">
                  <c:v>601</c:v>
                </c:pt>
                <c:pt idx="9">
                  <c:v>933</c:v>
                </c:pt>
                <c:pt idx="10">
                  <c:v>1440</c:v>
                </c:pt>
                <c:pt idx="11">
                  <c:v>1783</c:v>
                </c:pt>
                <c:pt idx="12">
                  <c:v>2219</c:v>
                </c:pt>
                <c:pt idx="13">
                  <c:v>2737</c:v>
                </c:pt>
                <c:pt idx="14">
                  <c:v>3335</c:v>
                </c:pt>
              </c:numCache>
            </c:numRef>
          </c:xVal>
          <c:yVal>
            <c:numRef>
              <c:f>'20260130_05_ackerbohne.csv'!$C$4:$C$18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6.6393599999999999</c:v>
                </c:pt>
                <c:pt idx="2">
                  <c:v>9.6768000000000001</c:v>
                </c:pt>
                <c:pt idx="3">
                  <c:v>13.809180000000001</c:v>
                </c:pt>
                <c:pt idx="4">
                  <c:v>28.434000000000001</c:v>
                </c:pt>
                <c:pt idx="5">
                  <c:v>47.533920000000002</c:v>
                </c:pt>
                <c:pt idx="6">
                  <c:v>60.137279999999997</c:v>
                </c:pt>
                <c:pt idx="7">
                  <c:v>79.994879999999995</c:v>
                </c:pt>
                <c:pt idx="8">
                  <c:v>87.842159999999993</c:v>
                </c:pt>
                <c:pt idx="9">
                  <c:v>83.07432</c:v>
                </c:pt>
                <c:pt idx="10">
                  <c:v>71.366399999999999</c:v>
                </c:pt>
                <c:pt idx="11">
                  <c:v>64.401959999999988</c:v>
                </c:pt>
                <c:pt idx="12">
                  <c:v>57.782759999999996</c:v>
                </c:pt>
                <c:pt idx="13">
                  <c:v>49.430219999999991</c:v>
                </c:pt>
                <c:pt idx="14">
                  <c:v>39.2196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83-4530-A311-45F9E18BA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'20260201_01_tomate.csv'!$A$4:$A$18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'20260201_01_tomate.csv'!$E$4:$E$18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5.0227602888519396</c:v>
                </c:pt>
                <c:pt idx="2">
                  <c:v>7.9323207920126739</c:v>
                </c:pt>
                <c:pt idx="3">
                  <c:v>11.737073772346283</c:v>
                </c:pt>
                <c:pt idx="4">
                  <c:v>22.784173570439837</c:v>
                </c:pt>
                <c:pt idx="5">
                  <c:v>31.706530446411815</c:v>
                </c:pt>
                <c:pt idx="6">
                  <c:v>35.272948678235686</c:v>
                </c:pt>
                <c:pt idx="7">
                  <c:v>38.316123485917878</c:v>
                </c:pt>
                <c:pt idx="8">
                  <c:v>36.750611062632778</c:v>
                </c:pt>
                <c:pt idx="9">
                  <c:v>32.551037363770519</c:v>
                </c:pt>
                <c:pt idx="10">
                  <c:v>26.765351430280816</c:v>
                </c:pt>
                <c:pt idx="11">
                  <c:v>23.398007536499733</c:v>
                </c:pt>
                <c:pt idx="12">
                  <c:v>19.732608006517903</c:v>
                </c:pt>
                <c:pt idx="13">
                  <c:v>16.125007586780992</c:v>
                </c:pt>
                <c:pt idx="14">
                  <c:v>12.762982814655812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0-43C7-AA37-EF9B1B3DB3B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'20260201_01_tomate.csv'!$A$4:$A$18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'20260201_01_tomate.csv'!$C$4:$C$18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3.4045199999999998</c:v>
                </c:pt>
                <c:pt idx="2">
                  <c:v>6.0761399999999997</c:v>
                </c:pt>
                <c:pt idx="3">
                  <c:v>9.8733599999999999</c:v>
                </c:pt>
                <c:pt idx="4">
                  <c:v>22.069319999999998</c:v>
                </c:pt>
                <c:pt idx="5">
                  <c:v>32.838119999999996</c:v>
                </c:pt>
                <c:pt idx="6">
                  <c:v>37.309019999999997</c:v>
                </c:pt>
                <c:pt idx="7">
                  <c:v>39.551400000000001</c:v>
                </c:pt>
                <c:pt idx="8">
                  <c:v>36.350999999999999</c:v>
                </c:pt>
                <c:pt idx="9">
                  <c:v>30.686039999999998</c:v>
                </c:pt>
                <c:pt idx="10">
                  <c:v>25.175639999999998</c:v>
                </c:pt>
                <c:pt idx="11">
                  <c:v>22.53762</c:v>
                </c:pt>
                <c:pt idx="12">
                  <c:v>19.939919999999997</c:v>
                </c:pt>
                <c:pt idx="13">
                  <c:v>17.902080000000002</c:v>
                </c:pt>
                <c:pt idx="14">
                  <c:v>13.65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0-43C7-AA37-EF9B1B3DB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'20260201_01_tomate.csv'!$A$4:$A$18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'20260201_01_tomate.csv'!$G$4:$G$18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4.7581408897824629</c:v>
                </c:pt>
                <c:pt idx="2">
                  <c:v>7.5515470962322659</c:v>
                </c:pt>
                <c:pt idx="3">
                  <c:v>11.248214311295671</c:v>
                </c:pt>
                <c:pt idx="4">
                  <c:v>22.3066421906809</c:v>
                </c:pt>
                <c:pt idx="5">
                  <c:v>31.732099731268594</c:v>
                </c:pt>
                <c:pt idx="6">
                  <c:v>35.725925663043547</c:v>
                </c:pt>
                <c:pt idx="7">
                  <c:v>39.481001569105743</c:v>
                </c:pt>
                <c:pt idx="8">
                  <c:v>37.691679796845108</c:v>
                </c:pt>
                <c:pt idx="9">
                  <c:v>32.325467196838716</c:v>
                </c:pt>
                <c:pt idx="10">
                  <c:v>25.544594406673745</c:v>
                </c:pt>
                <c:pt idx="11">
                  <c:v>22.158297886713719</c:v>
                </c:pt>
                <c:pt idx="12">
                  <c:v>18.909033337308205</c:v>
                </c:pt>
                <c:pt idx="13">
                  <c:v>16.075430175826881</c:v>
                </c:pt>
                <c:pt idx="14">
                  <c:v>13.680266819129555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8-40A9-B5D3-9C94BC6D7CBC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'20260201_01_tomate.csv'!$A$4:$A$18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'20260201_01_tomate.csv'!$C$4:$C$18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3.4045199999999998</c:v>
                </c:pt>
                <c:pt idx="2">
                  <c:v>6.0761399999999997</c:v>
                </c:pt>
                <c:pt idx="3">
                  <c:v>9.8733599999999999</c:v>
                </c:pt>
                <c:pt idx="4">
                  <c:v>22.069319999999998</c:v>
                </c:pt>
                <c:pt idx="5">
                  <c:v>32.838119999999996</c:v>
                </c:pt>
                <c:pt idx="6">
                  <c:v>37.309019999999997</c:v>
                </c:pt>
                <c:pt idx="7">
                  <c:v>39.551400000000001</c:v>
                </c:pt>
                <c:pt idx="8">
                  <c:v>36.350999999999999</c:v>
                </c:pt>
                <c:pt idx="9">
                  <c:v>30.686039999999998</c:v>
                </c:pt>
                <c:pt idx="10">
                  <c:v>25.175639999999998</c:v>
                </c:pt>
                <c:pt idx="11">
                  <c:v>22.53762</c:v>
                </c:pt>
                <c:pt idx="12">
                  <c:v>19.939919999999997</c:v>
                </c:pt>
                <c:pt idx="13">
                  <c:v>17.902080000000002</c:v>
                </c:pt>
                <c:pt idx="14">
                  <c:v>13.65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F8-40A9-B5D3-9C94BC6D7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'20260201_02_weizen.csv'!$E$4:$E$18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4.8604741282057589</c:v>
                </c:pt>
                <c:pt idx="2">
                  <c:v>7.7986553587812235</c:v>
                </c:pt>
                <c:pt idx="3">
                  <c:v>11.800516952710941</c:v>
                </c:pt>
                <c:pt idx="4">
                  <c:v>24.828767622878015</c:v>
                </c:pt>
                <c:pt idx="5">
                  <c:v>38.173704116864755</c:v>
                </c:pt>
                <c:pt idx="6">
                  <c:v>45.319010507978824</c:v>
                </c:pt>
                <c:pt idx="7">
                  <c:v>56.712825465672474</c:v>
                </c:pt>
                <c:pt idx="8">
                  <c:v>61.307412121880446</c:v>
                </c:pt>
                <c:pt idx="9">
                  <c:v>60.194873052038531</c:v>
                </c:pt>
                <c:pt idx="10">
                  <c:v>54.99431551763103</c:v>
                </c:pt>
                <c:pt idx="11">
                  <c:v>51.352903398153884</c:v>
                </c:pt>
                <c:pt idx="12">
                  <c:v>47.040339704672824</c:v>
                </c:pt>
                <c:pt idx="13">
                  <c:v>42.388323893138313</c:v>
                </c:pt>
                <c:pt idx="14">
                  <c:v>37.571741784819572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29-4B13-A0F9-105266C77F4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'20260201_02_weizen.csv'!$C$4:$C$18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3.2810400000000004</c:v>
                </c:pt>
                <c:pt idx="2">
                  <c:v>5.4385799999999991</c:v>
                </c:pt>
                <c:pt idx="3">
                  <c:v>8.7998399999999997</c:v>
                </c:pt>
                <c:pt idx="4">
                  <c:v>21.166319999999995</c:v>
                </c:pt>
                <c:pt idx="5">
                  <c:v>37.453919999999997</c:v>
                </c:pt>
                <c:pt idx="6">
                  <c:v>49.184100000000001</c:v>
                </c:pt>
                <c:pt idx="7">
                  <c:v>60.246899999999997</c:v>
                </c:pt>
                <c:pt idx="8">
                  <c:v>60.100319999999996</c:v>
                </c:pt>
                <c:pt idx="9">
                  <c:v>57.204839999999997</c:v>
                </c:pt>
                <c:pt idx="10">
                  <c:v>53.864159999999991</c:v>
                </c:pt>
                <c:pt idx="11">
                  <c:v>51.618419999999993</c:v>
                </c:pt>
                <c:pt idx="12">
                  <c:v>49.849799999999995</c:v>
                </c:pt>
                <c:pt idx="13">
                  <c:v>43.636319999999998</c:v>
                </c:pt>
                <c:pt idx="14">
                  <c:v>35.49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29-4B13-A0F9-105266C77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'20260201_02_weizen.csv'!$G$4:$G$18</c:f>
              <c:numCache>
                <c:formatCode>0.00</c:formatCode>
                <c:ptCount val="15"/>
                <c:pt idx="0">
                  <c:v>0</c:v>
                </c:pt>
                <c:pt idx="1">
                  <c:v>4.9225328070529066</c:v>
                </c:pt>
                <c:pt idx="2">
                  <c:v>7.8756014806131942</c:v>
                </c:pt>
                <c:pt idx="3">
                  <c:v>11.872275209717271</c:v>
                </c:pt>
                <c:pt idx="4">
                  <c:v>24.712979850920238</c:v>
                </c:pt>
                <c:pt idx="5">
                  <c:v>37.71129376366433</c:v>
                </c:pt>
                <c:pt idx="6">
                  <c:v>44.701191609353245</c:v>
                </c:pt>
                <c:pt idx="7">
                  <c:v>56.274308529135951</c:v>
                </c:pt>
                <c:pt idx="8">
                  <c:v>61.734363976763881</c:v>
                </c:pt>
                <c:pt idx="9">
                  <c:v>61.370535816184031</c:v>
                </c:pt>
                <c:pt idx="10">
                  <c:v>55.707958812425495</c:v>
                </c:pt>
                <c:pt idx="11">
                  <c:v>51.452799742533294</c:v>
                </c:pt>
                <c:pt idx="12">
                  <c:v>46.539486113723186</c:v>
                </c:pt>
                <c:pt idx="13">
                  <c:v>41.583566770450652</c:v>
                </c:pt>
                <c:pt idx="14">
                  <c:v>36.890748541459381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E7-49FF-96B2-92CC1FB66570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'20260201_02_weizen.csv'!$A$4:$A$18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'20260201_02_weizen.csv'!$C$4:$C$18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3.2810400000000004</c:v>
                </c:pt>
                <c:pt idx="2">
                  <c:v>5.4385799999999991</c:v>
                </c:pt>
                <c:pt idx="3">
                  <c:v>8.7998399999999997</c:v>
                </c:pt>
                <c:pt idx="4">
                  <c:v>21.166319999999995</c:v>
                </c:pt>
                <c:pt idx="5">
                  <c:v>37.453919999999997</c:v>
                </c:pt>
                <c:pt idx="6">
                  <c:v>49.184100000000001</c:v>
                </c:pt>
                <c:pt idx="7">
                  <c:v>60.246899999999997</c:v>
                </c:pt>
                <c:pt idx="8">
                  <c:v>60.100319999999996</c:v>
                </c:pt>
                <c:pt idx="9">
                  <c:v>57.204839999999997</c:v>
                </c:pt>
                <c:pt idx="10">
                  <c:v>53.864159999999991</c:v>
                </c:pt>
                <c:pt idx="11">
                  <c:v>51.618419999999993</c:v>
                </c:pt>
                <c:pt idx="12">
                  <c:v>49.849799999999995</c:v>
                </c:pt>
                <c:pt idx="13">
                  <c:v>43.636319999999998</c:v>
                </c:pt>
                <c:pt idx="14">
                  <c:v>35.49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E7-49FF-96B2-92CC1FB66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'20260201_03_mais.csv'!$E$4:$E$18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2.7892570253404929</c:v>
                </c:pt>
                <c:pt idx="2">
                  <c:v>4.3361159681935906</c:v>
                </c:pt>
                <c:pt idx="3">
                  <c:v>6.2768814205945311</c:v>
                </c:pt>
                <c:pt idx="4">
                  <c:v>11.303858781174698</c:v>
                </c:pt>
                <c:pt idx="5">
                  <c:v>14.477466663209864</c:v>
                </c:pt>
                <c:pt idx="6">
                  <c:v>15.365894573943667</c:v>
                </c:pt>
                <c:pt idx="7">
                  <c:v>15.414604758890444</c:v>
                </c:pt>
                <c:pt idx="8">
                  <c:v>14.176078788819032</c:v>
                </c:pt>
                <c:pt idx="9">
                  <c:v>12.244750019960517</c:v>
                </c:pt>
                <c:pt idx="10">
                  <c:v>9.793939803109545</c:v>
                </c:pt>
                <c:pt idx="11">
                  <c:v>8.4045494687916271</c:v>
                </c:pt>
                <c:pt idx="12">
                  <c:v>6.9235205772594908</c:v>
                </c:pt>
                <c:pt idx="13">
                  <c:v>5.5025484093623103</c:v>
                </c:pt>
                <c:pt idx="14">
                  <c:v>4.2172362619519905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4-42C5-AC5B-4DD5C9723EEE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'20260201_03_mais.csv'!$C$4:$C$18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1.7522399999999998</c:v>
                </c:pt>
                <c:pt idx="2">
                  <c:v>3.3326999999999996</c:v>
                </c:pt>
                <c:pt idx="3">
                  <c:v>5.3675999999999995</c:v>
                </c:pt>
                <c:pt idx="4">
                  <c:v>11.088839999999999</c:v>
                </c:pt>
                <c:pt idx="5">
                  <c:v>16.221239999999998</c:v>
                </c:pt>
                <c:pt idx="6">
                  <c:v>16.571940000000001</c:v>
                </c:pt>
                <c:pt idx="7">
                  <c:v>15.023400000000001</c:v>
                </c:pt>
                <c:pt idx="8">
                  <c:v>13.3287</c:v>
                </c:pt>
                <c:pt idx="9">
                  <c:v>11.3652</c:v>
                </c:pt>
                <c:pt idx="10">
                  <c:v>9.36768</c:v>
                </c:pt>
                <c:pt idx="11">
                  <c:v>7.9972199999999996</c:v>
                </c:pt>
                <c:pt idx="12">
                  <c:v>7.2508799999999995</c:v>
                </c:pt>
                <c:pt idx="13">
                  <c:v>5.5944000000000003</c:v>
                </c:pt>
                <c:pt idx="14">
                  <c:v>5.46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44-42C5-AC5B-4DD5C972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'20260201_03_mais.csv'!$G$4:$G$18</c:f>
              <c:numCache>
                <c:formatCode>0.00</c:formatCode>
                <c:ptCount val="15"/>
                <c:pt idx="0">
                  <c:v>0</c:v>
                </c:pt>
                <c:pt idx="1">
                  <c:v>2.6529848020525804</c:v>
                </c:pt>
                <c:pt idx="2">
                  <c:v>4.1448617762573496</c:v>
                </c:pt>
                <c:pt idx="3">
                  <c:v>6.0421662116985608</c:v>
                </c:pt>
                <c:pt idx="4">
                  <c:v>11.153553257538737</c:v>
                </c:pt>
                <c:pt idx="5">
                  <c:v>14.690512031781648</c:v>
                </c:pt>
                <c:pt idx="6">
                  <c:v>15.823435022484055</c:v>
                </c:pt>
                <c:pt idx="7">
                  <c:v>16.075675570530294</c:v>
                </c:pt>
                <c:pt idx="8">
                  <c:v>14.419987606144966</c:v>
                </c:pt>
                <c:pt idx="9">
                  <c:v>11.796081454011251</c:v>
                </c:pt>
                <c:pt idx="10">
                  <c:v>9.0231894859431669</c:v>
                </c:pt>
                <c:pt idx="11">
                  <c:v>7.7342351636806512</c:v>
                </c:pt>
                <c:pt idx="12">
                  <c:v>6.5358288144179983</c:v>
                </c:pt>
                <c:pt idx="13">
                  <c:v>5.5148798496442764</c:v>
                </c:pt>
                <c:pt idx="14">
                  <c:v>4.6664089200334287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80-4AA2-94B2-0EE46C180199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'20260201_03_mais.csv'!$A$4:$A$18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'20260201_03_mais.csv'!$C$4:$C$18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1.7522399999999998</c:v>
                </c:pt>
                <c:pt idx="2">
                  <c:v>3.3326999999999996</c:v>
                </c:pt>
                <c:pt idx="3">
                  <c:v>5.3675999999999995</c:v>
                </c:pt>
                <c:pt idx="4">
                  <c:v>11.088839999999999</c:v>
                </c:pt>
                <c:pt idx="5">
                  <c:v>16.221239999999998</c:v>
                </c:pt>
                <c:pt idx="6">
                  <c:v>16.571940000000001</c:v>
                </c:pt>
                <c:pt idx="7">
                  <c:v>15.023400000000001</c:v>
                </c:pt>
                <c:pt idx="8">
                  <c:v>13.3287</c:v>
                </c:pt>
                <c:pt idx="9">
                  <c:v>11.3652</c:v>
                </c:pt>
                <c:pt idx="10">
                  <c:v>9.36768</c:v>
                </c:pt>
                <c:pt idx="11">
                  <c:v>7.9972199999999996</c:v>
                </c:pt>
                <c:pt idx="12">
                  <c:v>7.2508799999999995</c:v>
                </c:pt>
                <c:pt idx="13">
                  <c:v>5.5944000000000003</c:v>
                </c:pt>
                <c:pt idx="14">
                  <c:v>5.46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AA2-94B2-0EE46C180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'20260201_05_mais.csv'!$A$4:$A$18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30</c:v>
                </c:pt>
                <c:pt idx="4">
                  <c:v>80</c:v>
                </c:pt>
                <c:pt idx="5">
                  <c:v>151</c:v>
                </c:pt>
                <c:pt idx="6">
                  <c:v>205</c:v>
                </c:pt>
                <c:pt idx="7">
                  <c:v>359</c:v>
                </c:pt>
                <c:pt idx="8">
                  <c:v>571</c:v>
                </c:pt>
                <c:pt idx="9">
                  <c:v>896</c:v>
                </c:pt>
                <c:pt idx="10">
                  <c:v>1388</c:v>
                </c:pt>
                <c:pt idx="11">
                  <c:v>1725</c:v>
                </c:pt>
                <c:pt idx="12">
                  <c:v>2152</c:v>
                </c:pt>
                <c:pt idx="13">
                  <c:v>2658</c:v>
                </c:pt>
                <c:pt idx="14">
                  <c:v>3244</c:v>
                </c:pt>
              </c:numCache>
            </c:numRef>
          </c:xVal>
          <c:yVal>
            <c:numRef>
              <c:f>'20260201_05_mais.csv'!$E$4:$E$18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1.0053068139183252</c:v>
                </c:pt>
                <c:pt idx="2">
                  <c:v>2.0217595381328528</c:v>
                </c:pt>
                <c:pt idx="3">
                  <c:v>3.3002770646925321</c:v>
                </c:pt>
                <c:pt idx="4">
                  <c:v>6.6384958150870608</c:v>
                </c:pt>
                <c:pt idx="5">
                  <c:v>8.7974392679233748</c:v>
                </c:pt>
                <c:pt idx="6">
                  <c:v>9.4387019849288709</c:v>
                </c:pt>
                <c:pt idx="7">
                  <c:v>9.6154329495754141</c:v>
                </c:pt>
                <c:pt idx="8">
                  <c:v>8.962337034729563</c:v>
                </c:pt>
                <c:pt idx="9">
                  <c:v>7.888823678319584</c:v>
                </c:pt>
                <c:pt idx="10">
                  <c:v>6.4916219365819678</c:v>
                </c:pt>
                <c:pt idx="11">
                  <c:v>5.6801163869180105</c:v>
                </c:pt>
                <c:pt idx="12">
                  <c:v>4.7959280993116202</c:v>
                </c:pt>
                <c:pt idx="13">
                  <c:v>3.9245745706065018</c:v>
                </c:pt>
                <c:pt idx="14">
                  <c:v>3.1113216155873453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45-410B-B774-20C4F18F562B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'20260201_05_mais.csv'!$A$4:$A$18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30</c:v>
                </c:pt>
                <c:pt idx="4">
                  <c:v>80</c:v>
                </c:pt>
                <c:pt idx="5">
                  <c:v>151</c:v>
                </c:pt>
                <c:pt idx="6">
                  <c:v>205</c:v>
                </c:pt>
                <c:pt idx="7">
                  <c:v>359</c:v>
                </c:pt>
                <c:pt idx="8">
                  <c:v>571</c:v>
                </c:pt>
                <c:pt idx="9">
                  <c:v>896</c:v>
                </c:pt>
                <c:pt idx="10">
                  <c:v>1388</c:v>
                </c:pt>
                <c:pt idx="11">
                  <c:v>1725</c:v>
                </c:pt>
                <c:pt idx="12">
                  <c:v>2152</c:v>
                </c:pt>
                <c:pt idx="13">
                  <c:v>2658</c:v>
                </c:pt>
                <c:pt idx="14">
                  <c:v>3244</c:v>
                </c:pt>
              </c:numCache>
            </c:numRef>
          </c:xVal>
          <c:yVal>
            <c:numRef>
              <c:f>'20260201_05_mais.csv'!$C$4:$C$18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0.98783999999999994</c:v>
                </c:pt>
                <c:pt idx="2">
                  <c:v>2.2133999999999996</c:v>
                </c:pt>
                <c:pt idx="3">
                  <c:v>3.7295999999999996</c:v>
                </c:pt>
                <c:pt idx="4">
                  <c:v>6.72</c:v>
                </c:pt>
                <c:pt idx="5">
                  <c:v>8.3080200000000008</c:v>
                </c:pt>
                <c:pt idx="6">
                  <c:v>9.4710000000000001</c:v>
                </c:pt>
                <c:pt idx="7">
                  <c:v>9.0467999999999993</c:v>
                </c:pt>
                <c:pt idx="8">
                  <c:v>8.8733399999999989</c:v>
                </c:pt>
                <c:pt idx="9">
                  <c:v>7.9027200000000004</c:v>
                </c:pt>
                <c:pt idx="10">
                  <c:v>6.9955199999999991</c:v>
                </c:pt>
                <c:pt idx="11">
                  <c:v>6.5204999999999993</c:v>
                </c:pt>
                <c:pt idx="12">
                  <c:v>6.3268800000000001</c:v>
                </c:pt>
                <c:pt idx="13">
                  <c:v>4.4654400000000001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45-410B-B774-20C4F18F5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'20260201_05_mais.csv'!$A$4:$A$18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30</c:v>
                </c:pt>
                <c:pt idx="4">
                  <c:v>80</c:v>
                </c:pt>
                <c:pt idx="5">
                  <c:v>151</c:v>
                </c:pt>
                <c:pt idx="6">
                  <c:v>205</c:v>
                </c:pt>
                <c:pt idx="7">
                  <c:v>359</c:v>
                </c:pt>
                <c:pt idx="8">
                  <c:v>571</c:v>
                </c:pt>
                <c:pt idx="9">
                  <c:v>896</c:v>
                </c:pt>
                <c:pt idx="10">
                  <c:v>1388</c:v>
                </c:pt>
                <c:pt idx="11">
                  <c:v>1725</c:v>
                </c:pt>
                <c:pt idx="12">
                  <c:v>2152</c:v>
                </c:pt>
                <c:pt idx="13">
                  <c:v>2658</c:v>
                </c:pt>
                <c:pt idx="14">
                  <c:v>3244</c:v>
                </c:pt>
              </c:numCache>
            </c:numRef>
          </c:xVal>
          <c:yVal>
            <c:numRef>
              <c:f>'20260201_05_mais.csv'!$G$4:$G$18</c:f>
              <c:numCache>
                <c:formatCode>0.00</c:formatCode>
                <c:ptCount val="15"/>
                <c:pt idx="0">
                  <c:v>0</c:v>
                </c:pt>
                <c:pt idx="1">
                  <c:v>1.1122622478010318</c:v>
                </c:pt>
                <c:pt idx="2">
                  <c:v>2.1883468862886883</c:v>
                </c:pt>
                <c:pt idx="3">
                  <c:v>3.4807515359516401</c:v>
                </c:pt>
                <c:pt idx="4">
                  <c:v>6.6146376650947989</c:v>
                </c:pt>
                <c:pt idx="5">
                  <c:v>8.5853328875754968</c:v>
                </c:pt>
                <c:pt idx="6">
                  <c:v>9.2320482102164796</c:v>
                </c:pt>
                <c:pt idx="7">
                  <c:v>9.5848823133602803</c:v>
                </c:pt>
                <c:pt idx="8">
                  <c:v>8.9933270128763265</c:v>
                </c:pt>
                <c:pt idx="9">
                  <c:v>7.8082017044142686</c:v>
                </c:pt>
                <c:pt idx="10">
                  <c:v>6.3529945413950832</c:v>
                </c:pt>
                <c:pt idx="11">
                  <c:v>5.6062943271411037</c:v>
                </c:pt>
                <c:pt idx="12">
                  <c:v>4.8695386878502251</c:v>
                </c:pt>
                <c:pt idx="13">
                  <c:v>4.207716136076062</c:v>
                </c:pt>
                <c:pt idx="14">
                  <c:v>3.6324479508743801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B1-47B5-B114-708FAC8264E8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'20260201_05_mais.csv'!$A$4:$A$18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30</c:v>
                </c:pt>
                <c:pt idx="4">
                  <c:v>80</c:v>
                </c:pt>
                <c:pt idx="5">
                  <c:v>151</c:v>
                </c:pt>
                <c:pt idx="6">
                  <c:v>205</c:v>
                </c:pt>
                <c:pt idx="7">
                  <c:v>359</c:v>
                </c:pt>
                <c:pt idx="8">
                  <c:v>571</c:v>
                </c:pt>
                <c:pt idx="9">
                  <c:v>896</c:v>
                </c:pt>
                <c:pt idx="10">
                  <c:v>1388</c:v>
                </c:pt>
                <c:pt idx="11">
                  <c:v>1725</c:v>
                </c:pt>
                <c:pt idx="12">
                  <c:v>2152</c:v>
                </c:pt>
                <c:pt idx="13">
                  <c:v>2658</c:v>
                </c:pt>
                <c:pt idx="14">
                  <c:v>3244</c:v>
                </c:pt>
              </c:numCache>
            </c:numRef>
          </c:xVal>
          <c:yVal>
            <c:numRef>
              <c:f>'20260201_05_mais.csv'!$C$4:$C$18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0.98783999999999994</c:v>
                </c:pt>
                <c:pt idx="2">
                  <c:v>2.2133999999999996</c:v>
                </c:pt>
                <c:pt idx="3">
                  <c:v>3.7295999999999996</c:v>
                </c:pt>
                <c:pt idx="4">
                  <c:v>6.72</c:v>
                </c:pt>
                <c:pt idx="5">
                  <c:v>8.3080200000000008</c:v>
                </c:pt>
                <c:pt idx="6">
                  <c:v>9.4710000000000001</c:v>
                </c:pt>
                <c:pt idx="7">
                  <c:v>9.0467999999999993</c:v>
                </c:pt>
                <c:pt idx="8">
                  <c:v>8.8733399999999989</c:v>
                </c:pt>
                <c:pt idx="9">
                  <c:v>7.9027200000000004</c:v>
                </c:pt>
                <c:pt idx="10">
                  <c:v>6.9955199999999991</c:v>
                </c:pt>
                <c:pt idx="11">
                  <c:v>6.5204999999999993</c:v>
                </c:pt>
                <c:pt idx="12">
                  <c:v>6.3268800000000001</c:v>
                </c:pt>
                <c:pt idx="13">
                  <c:v>4.4654400000000001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B1-47B5-B114-708FAC826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'20260201_06_tomate.csv'!$A$4:$A$18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'20260201_06_tomate.csv'!$E$4:$E$18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5.1646386917790856</c:v>
                </c:pt>
                <c:pt idx="2">
                  <c:v>8.2139161635890279</c:v>
                </c:pt>
                <c:pt idx="3">
                  <c:v>12.274933509559114</c:v>
                </c:pt>
                <c:pt idx="4">
                  <c:v>24.693290696226544</c:v>
                </c:pt>
                <c:pt idx="5">
                  <c:v>35.91107674407214</c:v>
                </c:pt>
                <c:pt idx="6">
                  <c:v>41.115102974348396</c:v>
                </c:pt>
                <c:pt idx="7">
                  <c:v>47.586619185330491</c:v>
                </c:pt>
                <c:pt idx="8">
                  <c:v>48.374759294219054</c:v>
                </c:pt>
                <c:pt idx="9">
                  <c:v>45.649196687268123</c:v>
                </c:pt>
                <c:pt idx="10">
                  <c:v>40.834903941420137</c:v>
                </c:pt>
                <c:pt idx="11">
                  <c:v>37.786078280071571</c:v>
                </c:pt>
                <c:pt idx="12">
                  <c:v>34.245352697004122</c:v>
                </c:pt>
                <c:pt idx="13">
                  <c:v>30.476341645668565</c:v>
                </c:pt>
                <c:pt idx="14">
                  <c:v>26.626723212219382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6C-4760-A840-AE57F914CDFE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'20260201_06_tomate.csv'!$A$4:$A$18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'20260201_06_tomate.csv'!$C$4:$C$18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3.8278800000000004</c:v>
                </c:pt>
                <c:pt idx="2">
                  <c:v>5.8539599999999989</c:v>
                </c:pt>
                <c:pt idx="3">
                  <c:v>9.4046399999999988</c:v>
                </c:pt>
                <c:pt idx="4">
                  <c:v>21.744239999999998</c:v>
                </c:pt>
                <c:pt idx="5">
                  <c:v>36.201060000000005</c:v>
                </c:pt>
                <c:pt idx="6">
                  <c:v>45.727919999999997</c:v>
                </c:pt>
                <c:pt idx="7">
                  <c:v>49.822499999999998</c:v>
                </c:pt>
                <c:pt idx="8">
                  <c:v>47.498639999999995</c:v>
                </c:pt>
                <c:pt idx="9">
                  <c:v>43.566600000000001</c:v>
                </c:pt>
                <c:pt idx="10">
                  <c:v>38.641680000000001</c:v>
                </c:pt>
                <c:pt idx="11">
                  <c:v>37.078019999999995</c:v>
                </c:pt>
                <c:pt idx="12">
                  <c:v>35.348040000000005</c:v>
                </c:pt>
                <c:pt idx="13">
                  <c:v>31.32864</c:v>
                </c:pt>
                <c:pt idx="14">
                  <c:v>27.3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6C-4760-A840-AE57F91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'20260201_06_tomate.csv'!$A$4:$A$18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'20260201_06_tomate.csv'!$G$4:$G$18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5.2745060398109516</c:v>
                </c:pt>
                <c:pt idx="2">
                  <c:v>8.3426323471364601</c:v>
                </c:pt>
                <c:pt idx="3">
                  <c:v>12.381577307887337</c:v>
                </c:pt>
                <c:pt idx="4">
                  <c:v>24.481933063739255</c:v>
                </c:pt>
                <c:pt idx="5">
                  <c:v>35.33666549074124</c:v>
                </c:pt>
                <c:pt idx="6">
                  <c:v>40.530060266094289</c:v>
                </c:pt>
                <c:pt idx="7">
                  <c:v>47.738667716304761</c:v>
                </c:pt>
                <c:pt idx="8">
                  <c:v>49.556551838065481</c:v>
                </c:pt>
                <c:pt idx="9">
                  <c:v>46.958830566235179</c:v>
                </c:pt>
                <c:pt idx="10">
                  <c:v>41.036227367954446</c:v>
                </c:pt>
                <c:pt idx="11">
                  <c:v>37.321164556901401</c:v>
                </c:pt>
                <c:pt idx="12">
                  <c:v>33.306182432510802</c:v>
                </c:pt>
                <c:pt idx="13">
                  <c:v>29.437285182144766</c:v>
                </c:pt>
                <c:pt idx="14">
                  <c:v>25.889293652812459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C-4831-ABC0-32D574F3932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'20260201_06_tomate.csv'!$A$4:$A$18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'20260201_06_tomate.csv'!$C$4:$C$18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3.8278800000000004</c:v>
                </c:pt>
                <c:pt idx="2">
                  <c:v>5.8539599999999989</c:v>
                </c:pt>
                <c:pt idx="3">
                  <c:v>9.4046399999999988</c:v>
                </c:pt>
                <c:pt idx="4">
                  <c:v>21.744239999999998</c:v>
                </c:pt>
                <c:pt idx="5">
                  <c:v>36.201060000000005</c:v>
                </c:pt>
                <c:pt idx="6">
                  <c:v>45.727919999999997</c:v>
                </c:pt>
                <c:pt idx="7">
                  <c:v>49.822499999999998</c:v>
                </c:pt>
                <c:pt idx="8">
                  <c:v>47.498639999999995</c:v>
                </c:pt>
                <c:pt idx="9">
                  <c:v>43.566600000000001</c:v>
                </c:pt>
                <c:pt idx="10">
                  <c:v>38.641680000000001</c:v>
                </c:pt>
                <c:pt idx="11">
                  <c:v>37.078019999999995</c:v>
                </c:pt>
                <c:pt idx="12">
                  <c:v>35.348040000000005</c:v>
                </c:pt>
                <c:pt idx="13">
                  <c:v>31.32864</c:v>
                </c:pt>
                <c:pt idx="14">
                  <c:v>27.3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0C-4831-ABC0-32D574F39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'20260201_07_tomate.csv'!$A$4:$A$18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'20260201_07_tomate.csv'!$E$4:$E$18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5.2949516666094176</c:v>
                </c:pt>
                <c:pt idx="2">
                  <c:v>8.4046870297864587</c:v>
                </c:pt>
                <c:pt idx="3">
                  <c:v>12.525244076333996</c:v>
                </c:pt>
                <c:pt idx="4">
                  <c:v>24.944998334287341</c:v>
                </c:pt>
                <c:pt idx="5">
                  <c:v>35.821860483735179</c:v>
                </c:pt>
                <c:pt idx="6">
                  <c:v>40.669592705684828</c:v>
                </c:pt>
                <c:pt idx="7">
                  <c:v>46.175147963944589</c:v>
                </c:pt>
                <c:pt idx="8">
                  <c:v>46.074340239937193</c:v>
                </c:pt>
                <c:pt idx="9">
                  <c:v>42.574858131806607</c:v>
                </c:pt>
                <c:pt idx="10">
                  <c:v>37.034245670603312</c:v>
                </c:pt>
                <c:pt idx="11">
                  <c:v>33.629599272685596</c:v>
                </c:pt>
                <c:pt idx="12">
                  <c:v>29.760167064710565</c:v>
                </c:pt>
                <c:pt idx="13">
                  <c:v>25.746946065015965</c:v>
                </c:pt>
                <c:pt idx="14">
                  <c:v>21.77057068367354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A-43EE-AC46-197CFD78214F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'20260201_07_tomate.csv'!$A$4:$A$18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'20260201_07_tomate.csv'!$C$4:$C$18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3.9866400000000004</c:v>
                </c:pt>
                <c:pt idx="2">
                  <c:v>6.5977800000000002</c:v>
                </c:pt>
                <c:pt idx="3">
                  <c:v>10.342080000000001</c:v>
                </c:pt>
                <c:pt idx="4">
                  <c:v>23.152920000000002</c:v>
                </c:pt>
                <c:pt idx="5">
                  <c:v>36.464820000000003</c:v>
                </c:pt>
                <c:pt idx="6">
                  <c:v>44.309999999999995</c:v>
                </c:pt>
                <c:pt idx="7">
                  <c:v>46.909799999999997</c:v>
                </c:pt>
                <c:pt idx="8">
                  <c:v>44.590559999999996</c:v>
                </c:pt>
                <c:pt idx="9">
                  <c:v>40.535879999999999</c:v>
                </c:pt>
                <c:pt idx="10">
                  <c:v>36.885240000000003</c:v>
                </c:pt>
                <c:pt idx="11">
                  <c:v>34.169939999999997</c:v>
                </c:pt>
                <c:pt idx="12">
                  <c:v>30.816240000000001</c:v>
                </c:pt>
                <c:pt idx="13">
                  <c:v>26.853120000000001</c:v>
                </c:pt>
                <c:pt idx="14">
                  <c:v>20.474999999999998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A-43EE-AC46-197CFD782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'20260201_07_tomate.csv'!$A$4:$A$18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'20260201_07_tomate.csv'!$G$4:$G$18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5.3519597601079996</c:v>
                </c:pt>
                <c:pt idx="2">
                  <c:v>8.4610260213507882</c:v>
                </c:pt>
                <c:pt idx="3">
                  <c:v>12.546446258738396</c:v>
                </c:pt>
                <c:pt idx="4">
                  <c:v>24.693479366945368</c:v>
                </c:pt>
                <c:pt idx="5">
                  <c:v>35.339259012374846</c:v>
                </c:pt>
                <c:pt idx="6">
                  <c:v>40.246721471074203</c:v>
                </c:pt>
                <c:pt idx="7">
                  <c:v>46.461720917840438</c:v>
                </c:pt>
                <c:pt idx="8">
                  <c:v>47.075054646458305</c:v>
                </c:pt>
                <c:pt idx="9">
                  <c:v>43.341396930025141</c:v>
                </c:pt>
                <c:pt idx="10">
                  <c:v>36.756972176751368</c:v>
                </c:pt>
                <c:pt idx="11">
                  <c:v>32.946266362463128</c:v>
                </c:pt>
                <c:pt idx="12">
                  <c:v>28.990836990042389</c:v>
                </c:pt>
                <c:pt idx="13">
                  <c:v>25.305099416590703</c:v>
                </c:pt>
                <c:pt idx="14">
                  <c:v>22.016557873914078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E-4E23-AEF4-B36066A2C2E0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'20260201_07_tomate.csv'!$A$4:$A$18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'20260201_07_tomate.csv'!$C$4:$C$18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3.9866400000000004</c:v>
                </c:pt>
                <c:pt idx="2">
                  <c:v>6.5977800000000002</c:v>
                </c:pt>
                <c:pt idx="3">
                  <c:v>10.342080000000001</c:v>
                </c:pt>
                <c:pt idx="4">
                  <c:v>23.152920000000002</c:v>
                </c:pt>
                <c:pt idx="5">
                  <c:v>36.464820000000003</c:v>
                </c:pt>
                <c:pt idx="6">
                  <c:v>44.309999999999995</c:v>
                </c:pt>
                <c:pt idx="7">
                  <c:v>46.909799999999997</c:v>
                </c:pt>
                <c:pt idx="8">
                  <c:v>44.590559999999996</c:v>
                </c:pt>
                <c:pt idx="9">
                  <c:v>40.535879999999999</c:v>
                </c:pt>
                <c:pt idx="10">
                  <c:v>36.885240000000003</c:v>
                </c:pt>
                <c:pt idx="11">
                  <c:v>34.169939999999997</c:v>
                </c:pt>
                <c:pt idx="12">
                  <c:v>30.816240000000001</c:v>
                </c:pt>
                <c:pt idx="13">
                  <c:v>26.853120000000001</c:v>
                </c:pt>
                <c:pt idx="14">
                  <c:v>20.474999999999998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E-4E23-AEF4-B36066A2C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'20260201_08_tomate.csv'!$A$4:$A$18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'20260201_08_tomate.csv'!$E$4:$E$18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4.2259223028452064</c:v>
                </c:pt>
                <c:pt idx="2">
                  <c:v>6.6843756243831027</c:v>
                </c:pt>
                <c:pt idx="3">
                  <c:v>9.9129178941345231</c:v>
                </c:pt>
                <c:pt idx="4">
                  <c:v>19.409406976199481</c:v>
                </c:pt>
                <c:pt idx="5">
                  <c:v>27.336340343398053</c:v>
                </c:pt>
                <c:pt idx="6">
                  <c:v>30.685302809767038</c:v>
                </c:pt>
                <c:pt idx="7">
                  <c:v>34.17664751326511</c:v>
                </c:pt>
                <c:pt idx="8">
                  <c:v>33.898813273899897</c:v>
                </c:pt>
                <c:pt idx="9">
                  <c:v>31.588409873714724</c:v>
                </c:pt>
                <c:pt idx="10">
                  <c:v>28.041010179172297</c:v>
                </c:pt>
                <c:pt idx="11">
                  <c:v>25.832919939659408</c:v>
                </c:pt>
                <c:pt idx="12">
                  <c:v>23.282777184930026</c:v>
                </c:pt>
                <c:pt idx="13">
                  <c:v>20.584698299285062</c:v>
                </c:pt>
                <c:pt idx="14">
                  <c:v>17.848316482660842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E-4B4C-9B14-C4591264E66B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'20260201_08_tomate.csv'!$A$4:$A$18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'20260201_08_tomate.csv'!$C$4:$C$18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3.7632000000000003</c:v>
                </c:pt>
                <c:pt idx="2">
                  <c:v>5.8636200000000001</c:v>
                </c:pt>
                <c:pt idx="3">
                  <c:v>9.0568799999999996</c:v>
                </c:pt>
                <c:pt idx="4">
                  <c:v>18.49344</c:v>
                </c:pt>
                <c:pt idx="5">
                  <c:v>27.365099999999998</c:v>
                </c:pt>
                <c:pt idx="6">
                  <c:v>32.789399999999993</c:v>
                </c:pt>
                <c:pt idx="7">
                  <c:v>34.645800000000001</c:v>
                </c:pt>
                <c:pt idx="8">
                  <c:v>33.442920000000001</c:v>
                </c:pt>
                <c:pt idx="9">
                  <c:v>30.686039999999998</c:v>
                </c:pt>
                <c:pt idx="10">
                  <c:v>26.932079999999996</c:v>
                </c:pt>
                <c:pt idx="11">
                  <c:v>26.172719999999998</c:v>
                </c:pt>
                <c:pt idx="12">
                  <c:v>23.565359999999998</c:v>
                </c:pt>
                <c:pt idx="13">
                  <c:v>21.25872</c:v>
                </c:pt>
                <c:pt idx="14">
                  <c:v>17.745000000000001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AE-4B4C-9B14-C4591264E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'20260201_08_tomate.csv'!$A$4:$A$18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'20260201_08_tomate.csv'!$G$4:$G$18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4.4731749343706051</c:v>
                </c:pt>
                <c:pt idx="2">
                  <c:v>6.9981997823226259</c:v>
                </c:pt>
                <c:pt idx="3">
                  <c:v>10.237641709869013</c:v>
                </c:pt>
                <c:pt idx="4">
                  <c:v>19.37807614737644</c:v>
                </c:pt>
                <c:pt idx="5">
                  <c:v>26.843437104921275</c:v>
                </c:pt>
                <c:pt idx="6">
                  <c:v>30.134716242660591</c:v>
                </c:pt>
                <c:pt idx="7">
                  <c:v>34.204205203706167</c:v>
                </c:pt>
                <c:pt idx="8">
                  <c:v>34.665984197370605</c:v>
                </c:pt>
                <c:pt idx="9">
                  <c:v>32.35774085953669</c:v>
                </c:pt>
                <c:pt idx="10">
                  <c:v>28.07357494386174</c:v>
                </c:pt>
                <c:pt idx="11">
                  <c:v>25.495902202690793</c:v>
                </c:pt>
                <c:pt idx="12">
                  <c:v>22.744796831788555</c:v>
                </c:pt>
                <c:pt idx="13">
                  <c:v>20.110602499426744</c:v>
                </c:pt>
                <c:pt idx="14">
                  <c:v>17.701182849640116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BD-436F-A42D-CDBE113B7F42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'20260201_08_tomate.csv'!$A$4:$A$18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'20260201_08_tomate.csv'!$C$4:$C$18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3.7632000000000003</c:v>
                </c:pt>
                <c:pt idx="2">
                  <c:v>5.8636200000000001</c:v>
                </c:pt>
                <c:pt idx="3">
                  <c:v>9.0568799999999996</c:v>
                </c:pt>
                <c:pt idx="4">
                  <c:v>18.49344</c:v>
                </c:pt>
                <c:pt idx="5">
                  <c:v>27.365099999999998</c:v>
                </c:pt>
                <c:pt idx="6">
                  <c:v>32.789399999999993</c:v>
                </c:pt>
                <c:pt idx="7">
                  <c:v>34.645800000000001</c:v>
                </c:pt>
                <c:pt idx="8">
                  <c:v>33.442920000000001</c:v>
                </c:pt>
                <c:pt idx="9">
                  <c:v>30.686039999999998</c:v>
                </c:pt>
                <c:pt idx="10">
                  <c:v>26.932079999999996</c:v>
                </c:pt>
                <c:pt idx="11">
                  <c:v>26.172719999999998</c:v>
                </c:pt>
                <c:pt idx="12">
                  <c:v>23.565359999999998</c:v>
                </c:pt>
                <c:pt idx="13">
                  <c:v>21.25872</c:v>
                </c:pt>
                <c:pt idx="14">
                  <c:v>17.745000000000001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BD-436F-A42D-CDBE113B7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'20260201_09_tomate.csv'!$A$4:$A$18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'20260201_09_tomate.csv'!$E$4:$E$18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3.9165934482308611</c:v>
                </c:pt>
                <c:pt idx="2">
                  <c:v>6.2225889132439969</c:v>
                </c:pt>
                <c:pt idx="3">
                  <c:v>9.285611365345888</c:v>
                </c:pt>
                <c:pt idx="4">
                  <c:v>18.583897617770109</c:v>
                </c:pt>
                <c:pt idx="5">
                  <c:v>26.860236431933366</c:v>
                </c:pt>
                <c:pt idx="6">
                  <c:v>30.634471318793064</c:v>
                </c:pt>
                <c:pt idx="7">
                  <c:v>35.186127860319999</c:v>
                </c:pt>
                <c:pt idx="8">
                  <c:v>35.589803553965687</c:v>
                </c:pt>
                <c:pt idx="9">
                  <c:v>33.505733899403566</c:v>
                </c:pt>
                <c:pt idx="10">
                  <c:v>29.947774175363897</c:v>
                </c:pt>
                <c:pt idx="11">
                  <c:v>27.702859964083462</c:v>
                </c:pt>
                <c:pt idx="12">
                  <c:v>25.097185769328512</c:v>
                </c:pt>
                <c:pt idx="13">
                  <c:v>22.324743444870272</c:v>
                </c:pt>
                <c:pt idx="14">
                  <c:v>19.494410823820381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12-46B6-B7B8-91238416835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'20260201_09_tomate.csv'!$A$4:$A$18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'20260201_09_tomate.csv'!$C$4:$C$18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3.4927199999999994</c:v>
                </c:pt>
                <c:pt idx="2">
                  <c:v>5.5448399999999989</c:v>
                </c:pt>
                <c:pt idx="3">
                  <c:v>8.4823199999999996</c:v>
                </c:pt>
                <c:pt idx="4">
                  <c:v>17.590439999999997</c:v>
                </c:pt>
                <c:pt idx="5">
                  <c:v>26.573819999999998</c:v>
                </c:pt>
                <c:pt idx="6">
                  <c:v>32.346299999999999</c:v>
                </c:pt>
                <c:pt idx="7">
                  <c:v>36.178799999999995</c:v>
                </c:pt>
                <c:pt idx="8">
                  <c:v>35.623979999999996</c:v>
                </c:pt>
                <c:pt idx="9">
                  <c:v>32.580239999999996</c:v>
                </c:pt>
                <c:pt idx="10">
                  <c:v>29.859479999999998</c:v>
                </c:pt>
                <c:pt idx="11">
                  <c:v>26.899739999999998</c:v>
                </c:pt>
                <c:pt idx="12">
                  <c:v>23.565359999999998</c:v>
                </c:pt>
                <c:pt idx="13">
                  <c:v>23.496480000000002</c:v>
                </c:pt>
                <c:pt idx="14">
                  <c:v>20.474999999999998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12-46B6-B7B8-912384168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'20260201_09_tomate.csv'!$A$4:$A$18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'20260201_09_tomate.csv'!$G$4:$G$18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4.1101028270240763</c:v>
                </c:pt>
                <c:pt idx="2">
                  <c:v>6.4757046976335184</c:v>
                </c:pt>
                <c:pt idx="3">
                  <c:v>9.5617179225234956</c:v>
                </c:pt>
                <c:pt idx="4">
                  <c:v>18.616230354702228</c:v>
                </c:pt>
                <c:pt idx="5">
                  <c:v>26.490014635408972</c:v>
                </c:pt>
                <c:pt idx="6">
                  <c:v>30.166752051903909</c:v>
                </c:pt>
                <c:pt idx="7">
                  <c:v>35.135642069729109</c:v>
                </c:pt>
                <c:pt idx="8">
                  <c:v>36.276419457635768</c:v>
                </c:pt>
                <c:pt idx="9">
                  <c:v>34.342175157028542</c:v>
                </c:pt>
                <c:pt idx="10">
                  <c:v>30.09070292746863</c:v>
                </c:pt>
                <c:pt idx="11">
                  <c:v>27.427702249257525</c:v>
                </c:pt>
                <c:pt idx="12">
                  <c:v>24.541521734560948</c:v>
                </c:pt>
                <c:pt idx="13">
                  <c:v>21.748887592821855</c:v>
                </c:pt>
                <c:pt idx="14">
                  <c:v>19.176302982801449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1-4077-86C6-3B54E32333CF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'20260201_09_tomate.csv'!$A$4:$A$18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'20260201_09_tomate.csv'!$C$4:$C$18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3.4927199999999994</c:v>
                </c:pt>
                <c:pt idx="2">
                  <c:v>5.5448399999999989</c:v>
                </c:pt>
                <c:pt idx="3">
                  <c:v>8.4823199999999996</c:v>
                </c:pt>
                <c:pt idx="4">
                  <c:v>17.590439999999997</c:v>
                </c:pt>
                <c:pt idx="5">
                  <c:v>26.573819999999998</c:v>
                </c:pt>
                <c:pt idx="6">
                  <c:v>32.346299999999999</c:v>
                </c:pt>
                <c:pt idx="7">
                  <c:v>36.178799999999995</c:v>
                </c:pt>
                <c:pt idx="8">
                  <c:v>35.623979999999996</c:v>
                </c:pt>
                <c:pt idx="9">
                  <c:v>32.580239999999996</c:v>
                </c:pt>
                <c:pt idx="10">
                  <c:v>29.859479999999998</c:v>
                </c:pt>
                <c:pt idx="11">
                  <c:v>26.899739999999998</c:v>
                </c:pt>
                <c:pt idx="12">
                  <c:v>23.565359999999998</c:v>
                </c:pt>
                <c:pt idx="13">
                  <c:v>23.496480000000002</c:v>
                </c:pt>
                <c:pt idx="14">
                  <c:v>20.474999999999998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11-4077-86C6-3B54E3233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'20260201_10_tomate.csv'!$A$4:$A$18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'20260201_10_tomate.csv'!$E$4:$E$18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5.5800884762910981</c:v>
                </c:pt>
                <c:pt idx="2">
                  <c:v>8.8590765072088118</c:v>
                </c:pt>
                <c:pt idx="3">
                  <c:v>13.206181317735403</c:v>
                </c:pt>
                <c:pt idx="4">
                  <c:v>26.328285926125464</c:v>
                </c:pt>
                <c:pt idx="5">
                  <c:v>37.856970917615385</c:v>
                </c:pt>
                <c:pt idx="6">
                  <c:v>43.016562659366897</c:v>
                </c:pt>
                <c:pt idx="7">
                  <c:v>48.932827407904455</c:v>
                </c:pt>
                <c:pt idx="8">
                  <c:v>48.913089073035316</c:v>
                </c:pt>
                <c:pt idx="9">
                  <c:v>45.286224517965941</c:v>
                </c:pt>
                <c:pt idx="10">
                  <c:v>39.494210718237575</c:v>
                </c:pt>
                <c:pt idx="11">
                  <c:v>35.925571948380487</c:v>
                </c:pt>
                <c:pt idx="12">
                  <c:v>31.861726738262856</c:v>
                </c:pt>
                <c:pt idx="13">
                  <c:v>27.636791614606793</c:v>
                </c:pt>
                <c:pt idx="14">
                  <c:v>23.438941651385466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9-44FD-BA82-9B6F395D11C7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'20260201_10_tomate.csv'!$A$4:$A$18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'20260201_10_tomate.csv'!$C$4:$C$18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3.80436</c:v>
                </c:pt>
                <c:pt idx="2">
                  <c:v>6.3176399999999999</c:v>
                </c:pt>
                <c:pt idx="3">
                  <c:v>10.266480000000001</c:v>
                </c:pt>
                <c:pt idx="4">
                  <c:v>23.69472</c:v>
                </c:pt>
                <c:pt idx="5">
                  <c:v>38.970539999999993</c:v>
                </c:pt>
                <c:pt idx="6">
                  <c:v>47.323080000000004</c:v>
                </c:pt>
                <c:pt idx="7">
                  <c:v>50.7423</c:v>
                </c:pt>
                <c:pt idx="8">
                  <c:v>47.498639999999995</c:v>
                </c:pt>
                <c:pt idx="9">
                  <c:v>43.187759999999997</c:v>
                </c:pt>
                <c:pt idx="10">
                  <c:v>38.641680000000001</c:v>
                </c:pt>
                <c:pt idx="11">
                  <c:v>35.623980000000003</c:v>
                </c:pt>
                <c:pt idx="12">
                  <c:v>30.816240000000001</c:v>
                </c:pt>
                <c:pt idx="13">
                  <c:v>29.090879999999999</c:v>
                </c:pt>
                <c:pt idx="14">
                  <c:v>24.569999999999997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99-44FD-BA82-9B6F395D1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'20260201_10_tomate.csv'!$A$4:$A$18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'20260201_10_tomate.csv'!$G$4:$G$18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5.5531763724553365</c:v>
                </c:pt>
                <c:pt idx="2">
                  <c:v>8.7960703309035289</c:v>
                </c:pt>
                <c:pt idx="3">
                  <c:v>13.076573476022418</c:v>
                </c:pt>
                <c:pt idx="4">
                  <c:v>25.93660714939352</c:v>
                </c:pt>
                <c:pt idx="5">
                  <c:v>37.381468656703873</c:v>
                </c:pt>
                <c:pt idx="6">
                  <c:v>42.719256184393863</c:v>
                </c:pt>
                <c:pt idx="7">
                  <c:v>49.561167389786533</c:v>
                </c:pt>
                <c:pt idx="8">
                  <c:v>50.298097528317889</c:v>
                </c:pt>
                <c:pt idx="9">
                  <c:v>46.267539935053428</c:v>
                </c:pt>
                <c:pt idx="10">
                  <c:v>39.134173529652976</c:v>
                </c:pt>
                <c:pt idx="11">
                  <c:v>35.017765253697952</c:v>
                </c:pt>
                <c:pt idx="12">
                  <c:v>30.75790440311189</c:v>
                </c:pt>
                <c:pt idx="13">
                  <c:v>26.801341086061168</c:v>
                </c:pt>
                <c:pt idx="14">
                  <c:v>23.282098746588908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0-468B-876C-E19286B44454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'20260201_10_tomate.csv'!$A$4:$A$18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'20260201_10_tomate.csv'!$C$4:$C$18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3.80436</c:v>
                </c:pt>
                <c:pt idx="2">
                  <c:v>6.3176399999999999</c:v>
                </c:pt>
                <c:pt idx="3">
                  <c:v>10.266480000000001</c:v>
                </c:pt>
                <c:pt idx="4">
                  <c:v>23.69472</c:v>
                </c:pt>
                <c:pt idx="5">
                  <c:v>38.970539999999993</c:v>
                </c:pt>
                <c:pt idx="6">
                  <c:v>47.323080000000004</c:v>
                </c:pt>
                <c:pt idx="7">
                  <c:v>50.7423</c:v>
                </c:pt>
                <c:pt idx="8">
                  <c:v>47.498639999999995</c:v>
                </c:pt>
                <c:pt idx="9">
                  <c:v>43.187759999999997</c:v>
                </c:pt>
                <c:pt idx="10">
                  <c:v>38.641680000000001</c:v>
                </c:pt>
                <c:pt idx="11">
                  <c:v>35.623980000000003</c:v>
                </c:pt>
                <c:pt idx="12">
                  <c:v>30.816240000000001</c:v>
                </c:pt>
                <c:pt idx="13">
                  <c:v>29.090879999999999</c:v>
                </c:pt>
                <c:pt idx="14">
                  <c:v>24.569999999999997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0-468B-876C-E19286B44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'20260201_13_tomate.csv'!$A$4:$A$18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'20260201_13_tomate.csv'!$E$4:$E$18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4.6240862120661204</c:v>
                </c:pt>
                <c:pt idx="2">
                  <c:v>7.3504691772665574</c:v>
                </c:pt>
                <c:pt idx="3">
                  <c:v>10.976644009222927</c:v>
                </c:pt>
                <c:pt idx="4">
                  <c:v>22.022986901837186</c:v>
                </c:pt>
                <c:pt idx="5">
                  <c:v>31.918013628731448</c:v>
                </c:pt>
                <c:pt idx="6">
                  <c:v>36.457275534677827</c:v>
                </c:pt>
                <c:pt idx="7">
                  <c:v>41.954606186291436</c:v>
                </c:pt>
                <c:pt idx="8">
                  <c:v>42.384982457866897</c:v>
                </c:pt>
                <c:pt idx="9">
                  <c:v>39.6822932229814</c:v>
                </c:pt>
                <c:pt idx="10">
                  <c:v>35.105670923313937</c:v>
                </c:pt>
                <c:pt idx="11">
                  <c:v>32.241133188507121</c:v>
                </c:pt>
                <c:pt idx="12">
                  <c:v>28.942968140147133</c:v>
                </c:pt>
                <c:pt idx="13">
                  <c:v>25.468428354106031</c:v>
                </c:pt>
                <c:pt idx="14">
                  <c:v>21.962405757397111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9-451F-AB48-FED20E6EC5F1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'20260201_13_tomate.csv'!$A$4:$A$18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'20260201_13_tomate.csv'!$C$4:$C$18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3.3692399999999991</c:v>
                </c:pt>
                <c:pt idx="2">
                  <c:v>5.4675599999999998</c:v>
                </c:pt>
                <c:pt idx="3">
                  <c:v>8.951039999999999</c:v>
                </c:pt>
                <c:pt idx="4">
                  <c:v>20.2272</c:v>
                </c:pt>
                <c:pt idx="5">
                  <c:v>32.508419999999994</c:v>
                </c:pt>
                <c:pt idx="6">
                  <c:v>39.613140000000001</c:v>
                </c:pt>
                <c:pt idx="7">
                  <c:v>43.077300000000001</c:v>
                </c:pt>
                <c:pt idx="8">
                  <c:v>41.197800000000001</c:v>
                </c:pt>
                <c:pt idx="9">
                  <c:v>38.262839999999997</c:v>
                </c:pt>
                <c:pt idx="10">
                  <c:v>33.957839999999997</c:v>
                </c:pt>
                <c:pt idx="11">
                  <c:v>32.715899999999998</c:v>
                </c:pt>
                <c:pt idx="12">
                  <c:v>29.909879999999998</c:v>
                </c:pt>
                <c:pt idx="13">
                  <c:v>25.73424</c:v>
                </c:pt>
                <c:pt idx="14">
                  <c:v>21.84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D9-451F-AB48-FED20E6E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'20260201_13_tomate.csv'!$A$4:$A$18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'20260201_13_tomate.csv'!$G$4:$G$18</c:f>
              <c:numCache>
                <c:formatCode>0.00</c:formatCode>
                <c:ptCount val="15"/>
                <c:pt idx="0">
                  <c:v>0</c:v>
                </c:pt>
                <c:pt idx="1">
                  <c:v>4.7244063772309843</c:v>
                </c:pt>
                <c:pt idx="2">
                  <c:v>7.4698229149723812</c:v>
                </c:pt>
                <c:pt idx="3">
                  <c:v>11.080078379649382</c:v>
                </c:pt>
                <c:pt idx="4">
                  <c:v>21.857513134793951</c:v>
                </c:pt>
                <c:pt idx="5">
                  <c:v>31.437016271520513</c:v>
                </c:pt>
                <c:pt idx="6">
                  <c:v>35.959994569140243</c:v>
                </c:pt>
                <c:pt idx="7">
                  <c:v>42.05109239922632</c:v>
                </c:pt>
                <c:pt idx="8">
                  <c:v>43.288162598531621</c:v>
                </c:pt>
                <c:pt idx="9">
                  <c:v>40.618645215931167</c:v>
                </c:pt>
                <c:pt idx="10">
                  <c:v>35.135218192033726</c:v>
                </c:pt>
                <c:pt idx="11">
                  <c:v>31.795573502791104</c:v>
                </c:pt>
                <c:pt idx="12">
                  <c:v>28.237971743670368</c:v>
                </c:pt>
                <c:pt idx="13">
                  <c:v>24.850288250713916</c:v>
                </c:pt>
                <c:pt idx="14">
                  <c:v>21.773512957224916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4-47E1-A81D-5DD893E56250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'20260201_13_tomate.csv'!$A$4:$A$18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'20260201_13_tomate.csv'!$C$4:$C$18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3.3692399999999991</c:v>
                </c:pt>
                <c:pt idx="2">
                  <c:v>5.4675599999999998</c:v>
                </c:pt>
                <c:pt idx="3">
                  <c:v>8.951039999999999</c:v>
                </c:pt>
                <c:pt idx="4">
                  <c:v>20.2272</c:v>
                </c:pt>
                <c:pt idx="5">
                  <c:v>32.508419999999994</c:v>
                </c:pt>
                <c:pt idx="6">
                  <c:v>39.613140000000001</c:v>
                </c:pt>
                <c:pt idx="7">
                  <c:v>43.077300000000001</c:v>
                </c:pt>
                <c:pt idx="8">
                  <c:v>41.197800000000001</c:v>
                </c:pt>
                <c:pt idx="9">
                  <c:v>38.262839999999997</c:v>
                </c:pt>
                <c:pt idx="10">
                  <c:v>33.957839999999997</c:v>
                </c:pt>
                <c:pt idx="11">
                  <c:v>32.715899999999998</c:v>
                </c:pt>
                <c:pt idx="12">
                  <c:v>29.909879999999998</c:v>
                </c:pt>
                <c:pt idx="13">
                  <c:v>25.73424</c:v>
                </c:pt>
                <c:pt idx="14">
                  <c:v>21.84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04-47E1-A81D-5DD893E56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'20260201_mais.csv'!$A$4:$A$18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'20260201_mais.csv'!$E$4:$E$18</c:f>
              <c:numCache>
                <c:formatCode>General</c:formatCode>
                <c:ptCount val="15"/>
                <c:pt idx="0">
                  <c:v>0</c:v>
                </c:pt>
                <c:pt idx="1">
                  <c:v>1.9141523996546712</c:v>
                </c:pt>
                <c:pt idx="2">
                  <c:v>3.0225493747669963</c:v>
                </c:pt>
                <c:pt idx="3">
                  <c:v>4.4715843207014467</c:v>
                </c:pt>
                <c:pt idx="4">
                  <c:v>8.6783795538205766</c:v>
                </c:pt>
                <c:pt idx="5">
                  <c:v>12.086035015858796</c:v>
                </c:pt>
                <c:pt idx="6">
                  <c:v>13.463593144490208</c:v>
                </c:pt>
                <c:pt idx="7">
                  <c:v>14.723590723698829</c:v>
                </c:pt>
                <c:pt idx="8">
                  <c:v>14.313117680354656</c:v>
                </c:pt>
                <c:pt idx="9">
                  <c:v>12.983407753209404</c:v>
                </c:pt>
                <c:pt idx="10">
                  <c:v>11.081195755442272</c:v>
                </c:pt>
                <c:pt idx="11">
                  <c:v>9.9382470588287415</c:v>
                </c:pt>
                <c:pt idx="12">
                  <c:v>8.6577070283619779</c:v>
                </c:pt>
                <c:pt idx="13">
                  <c:v>7.3521143880790314</c:v>
                </c:pt>
                <c:pt idx="14">
                  <c:v>6.0841204498539367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3-4B5D-8B68-DB31205AC6D3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1.5111599999999998</c:v>
                </c:pt>
                <c:pt idx="2">
                  <c:v>2.7144600000000003</c:v>
                </c:pt>
                <c:pt idx="3">
                  <c:v>4.3243199999999993</c:v>
                </c:pt>
                <c:pt idx="4">
                  <c:v>8.92164</c:v>
                </c:pt>
                <c:pt idx="5">
                  <c:v>12.330779999999999</c:v>
                </c:pt>
                <c:pt idx="6">
                  <c:v>13.38162</c:v>
                </c:pt>
                <c:pt idx="7">
                  <c:v>14.563499999999998</c:v>
                </c:pt>
                <c:pt idx="8">
                  <c:v>14.29806</c:v>
                </c:pt>
                <c:pt idx="9">
                  <c:v>13.638239999999998</c:v>
                </c:pt>
                <c:pt idx="10">
                  <c:v>10.538639999999999</c:v>
                </c:pt>
                <c:pt idx="11">
                  <c:v>9.4512599999999996</c:v>
                </c:pt>
                <c:pt idx="12">
                  <c:v>9.063600000000001</c:v>
                </c:pt>
                <c:pt idx="13">
                  <c:v>6.7132800000000001</c:v>
                </c:pt>
                <c:pt idx="14">
                  <c:v>6.8250000000000002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F3-4B5D-8B68-DB31205AC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'20260201_mais.csv'!$A$4:$A$18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'20260201_mais.csv'!$G$4:$G$18</c:f>
              <c:numCache>
                <c:formatCode>0.00</c:formatCode>
                <c:ptCount val="15"/>
                <c:pt idx="0">
                  <c:v>0</c:v>
                </c:pt>
                <c:pt idx="1">
                  <c:v>1.9706944463114924</c:v>
                </c:pt>
                <c:pt idx="2">
                  <c:v>3.0916218178075359</c:v>
                </c:pt>
                <c:pt idx="3">
                  <c:v>4.5372203257473496</c:v>
                </c:pt>
                <c:pt idx="4">
                  <c:v>8.640205774066839</c:v>
                </c:pt>
                <c:pt idx="5">
                  <c:v>11.952058468680214</c:v>
                </c:pt>
                <c:pt idx="6">
                  <c:v>13.351160902647521</c:v>
                </c:pt>
                <c:pt idx="7">
                  <c:v>14.84455762957432</c:v>
                </c:pt>
                <c:pt idx="8">
                  <c:v>14.597291446123265</c:v>
                </c:pt>
                <c:pt idx="9">
                  <c:v>13.103852836837136</c:v>
                </c:pt>
                <c:pt idx="10">
                  <c:v>10.894863442272317</c:v>
                </c:pt>
                <c:pt idx="11">
                  <c:v>9.6870013373098072</c:v>
                </c:pt>
                <c:pt idx="12">
                  <c:v>8.4641434221123344</c:v>
                </c:pt>
                <c:pt idx="13">
                  <c:v>7.345815174319104</c:v>
                </c:pt>
                <c:pt idx="14">
                  <c:v>6.3618097943752172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5-4096-B323-E090436506DC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dash"/>
            <c:size val="5"/>
          </c:marker>
          <c:xVal>
            <c:numRef>
              <c:f>'20260201_mais.csv'!$A$4:$A$18</c:f>
              <c:numCache>
                <c:formatCode>General</c:formatCode>
                <c:ptCount val="15"/>
                <c:pt idx="0">
                  <c:v>0</c:v>
                </c:pt>
                <c:pt idx="1">
                  <c:v>14</c:v>
                </c:pt>
                <c:pt idx="2">
                  <c:v>23</c:v>
                </c:pt>
                <c:pt idx="3">
                  <c:v>36</c:v>
                </c:pt>
                <c:pt idx="4">
                  <c:v>86</c:v>
                </c:pt>
                <c:pt idx="5">
                  <c:v>157</c:v>
                </c:pt>
                <c:pt idx="6">
                  <c:v>211</c:v>
                </c:pt>
                <c:pt idx="7">
                  <c:v>365</c:v>
                </c:pt>
                <c:pt idx="8">
                  <c:v>577</c:v>
                </c:pt>
                <c:pt idx="9">
                  <c:v>902</c:v>
                </c:pt>
                <c:pt idx="10">
                  <c:v>1394</c:v>
                </c:pt>
                <c:pt idx="11">
                  <c:v>1731</c:v>
                </c:pt>
                <c:pt idx="12">
                  <c:v>2158</c:v>
                </c:pt>
                <c:pt idx="13">
                  <c:v>2664</c:v>
                </c:pt>
                <c:pt idx="14">
                  <c:v>3250</c:v>
                </c:pt>
              </c:numCache>
            </c:numRef>
          </c:xVal>
          <c:yVal>
            <c:numRef>
              <c:f>'20260201_mais.csv'!$C$4:$C$18</c:f>
              <c:numCache>
                <c:formatCode>General</c:formatCode>
                <c:ptCount val="15"/>
                <c:pt idx="0">
                  <c:v>0</c:v>
                </c:pt>
                <c:pt idx="1">
                  <c:v>1.5111599999999998</c:v>
                </c:pt>
                <c:pt idx="2">
                  <c:v>2.7144600000000003</c:v>
                </c:pt>
                <c:pt idx="3">
                  <c:v>4.3243199999999993</c:v>
                </c:pt>
                <c:pt idx="4">
                  <c:v>8.92164</c:v>
                </c:pt>
                <c:pt idx="5">
                  <c:v>12.330779999999999</c:v>
                </c:pt>
                <c:pt idx="6">
                  <c:v>13.38162</c:v>
                </c:pt>
                <c:pt idx="7">
                  <c:v>14.563499999999998</c:v>
                </c:pt>
                <c:pt idx="8">
                  <c:v>14.29806</c:v>
                </c:pt>
                <c:pt idx="9">
                  <c:v>13.638239999999998</c:v>
                </c:pt>
                <c:pt idx="10">
                  <c:v>10.538639999999999</c:v>
                </c:pt>
                <c:pt idx="11">
                  <c:v>9.4512599999999996</c:v>
                </c:pt>
                <c:pt idx="12">
                  <c:v>9.063600000000001</c:v>
                </c:pt>
                <c:pt idx="13">
                  <c:v>6.7132800000000001</c:v>
                </c:pt>
                <c:pt idx="14">
                  <c:v>6.8250000000000002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D5-4096-B323-E09043650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79811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18532874015748033"/>
          <c:h val="0.16739526816604899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chemeClr val="accent5"/>
              </a:solidFill>
              <a:ln>
                <a:noFill/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(9)'!$I$4:$I$19</c:f>
              <c:numCache>
                <c:formatCode>#,##0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B-45D5-BB57-2C3428B0C3B6}"/>
            </c:ext>
          </c:extLst>
        </c:ser>
        <c:ser>
          <c:idx val="1"/>
          <c:order val="1"/>
          <c:spPr>
            <a:ln w="127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(9)'!$AB$4:$AB$19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CB-45D5-BB57-2C3428B0C3B6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(9)'!$Q$4:$Q$19</c:f>
              <c:numCache>
                <c:formatCode>#,##0</c:formatCode>
                <c:ptCount val="16"/>
                <c:pt idx="0" formatCode="General">
                  <c:v>6.0000000000000001E-3</c:v>
                </c:pt>
                <c:pt idx="1">
                  <c:v>0.248</c:v>
                </c:pt>
                <c:pt idx="2">
                  <c:v>0.24099999999999999</c:v>
                </c:pt>
                <c:pt idx="3">
                  <c:v>0.224</c:v>
                </c:pt>
                <c:pt idx="4">
                  <c:v>0.22</c:v>
                </c:pt>
                <c:pt idx="5">
                  <c:v>0.219</c:v>
                </c:pt>
                <c:pt idx="6">
                  <c:v>0.22700000000000001</c:v>
                </c:pt>
                <c:pt idx="7">
                  <c:v>0.22700000000000001</c:v>
                </c:pt>
                <c:pt idx="8">
                  <c:v>0.23699999999999999</c:v>
                </c:pt>
                <c:pt idx="9">
                  <c:v>0.26600000000000001</c:v>
                </c:pt>
                <c:pt idx="10">
                  <c:v>0.29899999999999999</c:v>
                </c:pt>
                <c:pt idx="11">
                  <c:v>0.35799999999999998</c:v>
                </c:pt>
                <c:pt idx="12">
                  <c:v>0.378</c:v>
                </c:pt>
                <c:pt idx="13">
                  <c:v>0.40400000000000003</c:v>
                </c:pt>
                <c:pt idx="14">
                  <c:v>0.41799999999999998</c:v>
                </c:pt>
                <c:pt idx="15">
                  <c:v>0.42699999999999999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CB-45D5-BB57-2C3428B0C3B6}"/>
            </c:ext>
          </c:extLst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(9)'!$AJ$4:$AJ$19</c:f>
              <c:numCache>
                <c:formatCode>General</c:formatCode>
                <c:ptCount val="16"/>
                <c:pt idx="0">
                  <c:v>0</c:v>
                </c:pt>
                <c:pt idx="1">
                  <c:v>6.813666307159842</c:v>
                </c:pt>
                <c:pt idx="2">
                  <c:v>8.2277811122296374</c:v>
                </c:pt>
                <c:pt idx="3">
                  <c:v>10.197713257430857</c:v>
                </c:pt>
                <c:pt idx="4">
                  <c:v>13.61854439293451</c:v>
                </c:pt>
                <c:pt idx="5">
                  <c:v>17.026751157643091</c:v>
                </c:pt>
                <c:pt idx="6">
                  <c:v>20.489609317881186</c:v>
                </c:pt>
                <c:pt idx="7">
                  <c:v>24.927914468551897</c:v>
                </c:pt>
                <c:pt idx="8">
                  <c:v>29.744688894241559</c:v>
                </c:pt>
                <c:pt idx="9">
                  <c:v>34.656676708321086</c:v>
                </c:pt>
                <c:pt idx="10">
                  <c:v>39.139691581279521</c:v>
                </c:pt>
                <c:pt idx="11">
                  <c:v>44.994524527494846</c:v>
                </c:pt>
                <c:pt idx="12">
                  <c:v>46.185640006825018</c:v>
                </c:pt>
                <c:pt idx="13">
                  <c:v>45.793615405973668</c:v>
                </c:pt>
                <c:pt idx="14">
                  <c:v>43.858339593301785</c:v>
                </c:pt>
                <c:pt idx="15">
                  <c:v>40.338581014182992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CB-45D5-BB57-2C3428B0C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scatterChart>
        <c:scatterStyle val="lineMarker"/>
        <c:varyColors val="0"/>
        <c:ser>
          <c:idx val="2"/>
          <c:order val="2"/>
          <c:spPr>
            <a:ln w="19050">
              <a:noFill/>
            </a:ln>
          </c:spPr>
          <c:marker>
            <c:symbol val="dash"/>
            <c:size val="5"/>
            <c:spPr>
              <a:noFill/>
              <a:ln w="25400">
                <a:solidFill>
                  <a:srgbClr val="00B0F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(9)'!$AC$4:$AC$19</c:f>
              <c:numCache>
                <c:formatCode>#,##0</c:formatCode>
                <c:ptCount val="16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>
                  <c:v>0</c:v>
                </c:pt>
                <c:pt idx="6" formatCode="General">
                  <c:v>0</c:v>
                </c:pt>
                <c:pt idx="7">
                  <c:v>0</c:v>
                </c:pt>
                <c:pt idx="8" formatCode="General">
                  <c:v>0</c:v>
                </c:pt>
                <c:pt idx="9">
                  <c:v>0</c:v>
                </c:pt>
                <c:pt idx="10" formatCode="General">
                  <c:v>0</c:v>
                </c:pt>
                <c:pt idx="11">
                  <c:v>0</c:v>
                </c:pt>
                <c:pt idx="12" formatCode="General">
                  <c:v>0</c:v>
                </c:pt>
                <c:pt idx="13">
                  <c:v>0</c:v>
                </c:pt>
                <c:pt idx="14" formatCode="General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CB-45D5-BB57-2C3428B0C3B6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dash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(9)'!$AK$4:$AK$19</c:f>
              <c:numCache>
                <c:formatCode>General</c:formatCode>
                <c:ptCount val="16"/>
                <c:pt idx="0">
                  <c:v>3.6000000000000001E-5</c:v>
                </c:pt>
                <c:pt idx="1">
                  <c:v>43.107974056973951</c:v>
                </c:pt>
                <c:pt idx="2">
                  <c:v>63.788672534668088</c:v>
                </c:pt>
                <c:pt idx="3">
                  <c:v>99.47495614145204</c:v>
                </c:pt>
                <c:pt idx="4">
                  <c:v>179.52099184943677</c:v>
                </c:pt>
                <c:pt idx="5">
                  <c:v>282.50049897725262</c:v>
                </c:pt>
                <c:pt idx="6">
                  <c:v>410.57333636908544</c:v>
                </c:pt>
                <c:pt idx="7">
                  <c:v>610.13517558271644</c:v>
                </c:pt>
                <c:pt idx="8">
                  <c:v>870.70370387934679</c:v>
                </c:pt>
                <c:pt idx="9">
                  <c:v>1182.7186444562585</c:v>
                </c:pt>
                <c:pt idx="10">
                  <c:v>1508.5993225120778</c:v>
                </c:pt>
                <c:pt idx="11">
                  <c:v>1992.4193218936493</c:v>
                </c:pt>
                <c:pt idx="12">
                  <c:v>2098.339882994876</c:v>
                </c:pt>
                <c:pt idx="13">
                  <c:v>2060.2171867022016</c:v>
                </c:pt>
                <c:pt idx="14">
                  <c:v>1887.0631039813827</c:v>
                </c:pt>
                <c:pt idx="15">
                  <c:v>1592.9342990516923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CB-45D5-BB57-2C3428B0C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20128"/>
        <c:axId val="-798122304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  <c:valAx>
        <c:axId val="-7981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798122304"/>
        <c:crosses val="autoZero"/>
        <c:crossBetween val="midCat"/>
      </c:valAx>
      <c:valAx>
        <c:axId val="-798122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-798120128"/>
        <c:crosses val="max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87941575484882573"/>
          <c:h val="9.8479397981604974E-2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chemeClr val="accent5"/>
              </a:solidFill>
              <a:ln>
                <a:noFill/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(9)'!$I$4:$I$19</c:f>
              <c:numCache>
                <c:formatCode>#,##0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7-474B-A2C1-D9395A773DD1}"/>
            </c:ext>
          </c:extLst>
        </c:ser>
        <c:ser>
          <c:idx val="1"/>
          <c:order val="1"/>
          <c:spPr>
            <a:ln w="127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(9)'!$AD$4:$AD$19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97-474B-A2C1-D9395A773DD1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(9)'!$Q$4:$Q$19</c:f>
              <c:numCache>
                <c:formatCode>#,##0</c:formatCode>
                <c:ptCount val="16"/>
                <c:pt idx="0" formatCode="General">
                  <c:v>6.0000000000000001E-3</c:v>
                </c:pt>
                <c:pt idx="1">
                  <c:v>0.248</c:v>
                </c:pt>
                <c:pt idx="2">
                  <c:v>0.24099999999999999</c:v>
                </c:pt>
                <c:pt idx="3">
                  <c:v>0.224</c:v>
                </c:pt>
                <c:pt idx="4">
                  <c:v>0.22</c:v>
                </c:pt>
                <c:pt idx="5">
                  <c:v>0.219</c:v>
                </c:pt>
                <c:pt idx="6">
                  <c:v>0.22700000000000001</c:v>
                </c:pt>
                <c:pt idx="7">
                  <c:v>0.22700000000000001</c:v>
                </c:pt>
                <c:pt idx="8">
                  <c:v>0.23699999999999999</c:v>
                </c:pt>
                <c:pt idx="9">
                  <c:v>0.26600000000000001</c:v>
                </c:pt>
                <c:pt idx="10">
                  <c:v>0.29899999999999999</c:v>
                </c:pt>
                <c:pt idx="11">
                  <c:v>0.35799999999999998</c:v>
                </c:pt>
                <c:pt idx="12">
                  <c:v>0.378</c:v>
                </c:pt>
                <c:pt idx="13">
                  <c:v>0.40400000000000003</c:v>
                </c:pt>
                <c:pt idx="14">
                  <c:v>0.41799999999999998</c:v>
                </c:pt>
                <c:pt idx="15">
                  <c:v>0.42699999999999999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97-474B-A2C1-D9395A773DD1}"/>
            </c:ext>
          </c:extLst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(9)'!$AL$4:$AL$19</c:f>
              <c:numCache>
                <c:formatCode>General</c:formatCode>
                <c:ptCount val="16"/>
                <c:pt idx="0">
                  <c:v>0</c:v>
                </c:pt>
                <c:pt idx="1">
                  <c:v>7.656967840735069</c:v>
                </c:pt>
                <c:pt idx="2">
                  <c:v>9.2591892729457825</c:v>
                </c:pt>
                <c:pt idx="3">
                  <c:v>11.477740588252717</c:v>
                </c:pt>
                <c:pt idx="4">
                  <c:v>15.24865953644075</c:v>
                </c:pt>
                <c:pt idx="5">
                  <c:v>18.824288710805142</c:v>
                </c:pt>
                <c:pt idx="6">
                  <c:v>22.172460860102781</c:v>
                </c:pt>
                <c:pt idx="7">
                  <c:v>25.878306908235242</c:v>
                </c:pt>
                <c:pt idx="8">
                  <c:v>28.920920197784923</c:v>
                </c:pt>
                <c:pt idx="9">
                  <c:v>30.693800253574924</c:v>
                </c:pt>
                <c:pt idx="10">
                  <c:v>30.837810468135313</c:v>
                </c:pt>
                <c:pt idx="11">
                  <c:v>27.463568642525445</c:v>
                </c:pt>
                <c:pt idx="12">
                  <c:v>24.477553177160498</c:v>
                </c:pt>
                <c:pt idx="13">
                  <c:v>21.501709015147579</c:v>
                </c:pt>
                <c:pt idx="14">
                  <c:v>18.473829172630829</c:v>
                </c:pt>
                <c:pt idx="15">
                  <c:v>15.546991328720328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97-474B-A2C1-D9395A773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scatterChart>
        <c:scatterStyle val="lineMarker"/>
        <c:varyColors val="0"/>
        <c:ser>
          <c:idx val="2"/>
          <c:order val="2"/>
          <c:spPr>
            <a:ln w="19050">
              <a:noFill/>
            </a:ln>
          </c:spPr>
          <c:marker>
            <c:symbol val="dash"/>
            <c:size val="5"/>
            <c:spPr>
              <a:noFill/>
              <a:ln w="25400">
                <a:solidFill>
                  <a:srgbClr val="00B0F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(9)'!$AE$4:$AE$19</c:f>
              <c:numCache>
                <c:formatCode>#,##0</c:formatCode>
                <c:ptCount val="16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97-474B-A2C1-D9395A773DD1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dash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(9)'!$AM$4:$AM$19</c:f>
              <c:numCache>
                <c:formatCode>General</c:formatCode>
                <c:ptCount val="16"/>
                <c:pt idx="0">
                  <c:v>3.6000000000000001E-5</c:v>
                </c:pt>
                <c:pt idx="1">
                  <c:v>54.892804465046467</c:v>
                </c:pt>
                <c:pt idx="2">
                  <c:v>81.327737762674388</c:v>
                </c:pt>
                <c:pt idx="3">
                  <c:v>126.6466772276866</c:v>
                </c:pt>
                <c:pt idx="4">
                  <c:v>225.86060746225147</c:v>
                </c:pt>
                <c:pt idx="5">
                  <c:v>346.15676801241324</c:v>
                </c:pt>
                <c:pt idx="6">
                  <c:v>481.60325236230307</c:v>
                </c:pt>
                <c:pt idx="7">
                  <c:v>657.98954610047701</c:v>
                </c:pt>
                <c:pt idx="8">
                  <c:v>822.76727791289397</c:v>
                </c:pt>
                <c:pt idx="9">
                  <c:v>925.85102827145408</c:v>
                </c:pt>
                <c:pt idx="10">
                  <c:v>932.61894480869103</c:v>
                </c:pt>
                <c:pt idx="11">
                  <c:v>734.71185143465868</c:v>
                </c:pt>
                <c:pt idx="12">
                  <c:v>580.78846333878664</c:v>
                </c:pt>
                <c:pt idx="13">
                  <c:v>445.11332568783945</c:v>
                </c:pt>
                <c:pt idx="14">
                  <c:v>326.01296711122649</c:v>
                </c:pt>
                <c:pt idx="15">
                  <c:v>228.61413778057792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C97-474B-A2C1-D9395A773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20128"/>
        <c:axId val="-798122304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  <c:valAx>
        <c:axId val="-7981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798122304"/>
        <c:crosses val="autoZero"/>
        <c:crossBetween val="midCat"/>
      </c:valAx>
      <c:valAx>
        <c:axId val="-798122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-798120128"/>
        <c:crosses val="max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87941575484882573"/>
          <c:h val="9.8479397981604974E-2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chemeClr val="accent5"/>
              </a:solidFill>
              <a:ln>
                <a:noFill/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(9)'!$I$4:$I$19</c:f>
              <c:numCache>
                <c:formatCode>#,##0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15-4801-A372-588A2D1B2C3C}"/>
            </c:ext>
          </c:extLst>
        </c:ser>
        <c:ser>
          <c:idx val="1"/>
          <c:order val="1"/>
          <c:spPr>
            <a:ln w="127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(9)'!$AF$4:$AF$19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15-4801-A372-588A2D1B2C3C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(9)'!$Q$4:$Q$19</c:f>
              <c:numCache>
                <c:formatCode>#,##0</c:formatCode>
                <c:ptCount val="16"/>
                <c:pt idx="0" formatCode="General">
                  <c:v>6.0000000000000001E-3</c:v>
                </c:pt>
                <c:pt idx="1">
                  <c:v>0.248</c:v>
                </c:pt>
                <c:pt idx="2">
                  <c:v>0.24099999999999999</c:v>
                </c:pt>
                <c:pt idx="3">
                  <c:v>0.224</c:v>
                </c:pt>
                <c:pt idx="4">
                  <c:v>0.22</c:v>
                </c:pt>
                <c:pt idx="5">
                  <c:v>0.219</c:v>
                </c:pt>
                <c:pt idx="6">
                  <c:v>0.22700000000000001</c:v>
                </c:pt>
                <c:pt idx="7">
                  <c:v>0.22700000000000001</c:v>
                </c:pt>
                <c:pt idx="8">
                  <c:v>0.23699999999999999</c:v>
                </c:pt>
                <c:pt idx="9">
                  <c:v>0.26600000000000001</c:v>
                </c:pt>
                <c:pt idx="10">
                  <c:v>0.29899999999999999</c:v>
                </c:pt>
                <c:pt idx="11">
                  <c:v>0.35799999999999998</c:v>
                </c:pt>
                <c:pt idx="12">
                  <c:v>0.378</c:v>
                </c:pt>
                <c:pt idx="13">
                  <c:v>0.40400000000000003</c:v>
                </c:pt>
                <c:pt idx="14">
                  <c:v>0.41799999999999998</c:v>
                </c:pt>
                <c:pt idx="15">
                  <c:v>0.42699999999999999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15-4801-A372-588A2D1B2C3C}"/>
            </c:ext>
          </c:extLst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(9)'!$AN$4:$AN$19</c:f>
              <c:numCache>
                <c:formatCode>General</c:formatCode>
                <c:ptCount val="16"/>
                <c:pt idx="0">
                  <c:v>0</c:v>
                </c:pt>
                <c:pt idx="1">
                  <c:v>6.857781953681739</c:v>
                </c:pt>
                <c:pt idx="2">
                  <c:v>8.2775690723302606</c:v>
                </c:pt>
                <c:pt idx="3">
                  <c:v>10.25338059199925</c:v>
                </c:pt>
                <c:pt idx="4">
                  <c:v>13.678791790550195</c:v>
                </c:pt>
                <c:pt idx="5">
                  <c:v>17.08442720375</c:v>
                </c:pt>
                <c:pt idx="6">
                  <c:v>20.537404449148593</c:v>
                </c:pt>
                <c:pt idx="7">
                  <c:v>24.95256925232005</c:v>
                </c:pt>
                <c:pt idx="8">
                  <c:v>29.731831151386675</c:v>
                </c:pt>
                <c:pt idx="9">
                  <c:v>34.595036441333207</c:v>
                </c:pt>
                <c:pt idx="10">
                  <c:v>39.030926940562381</c:v>
                </c:pt>
                <c:pt idx="11">
                  <c:v>44.871474129521104</c:v>
                </c:pt>
                <c:pt idx="12">
                  <c:v>46.129816149760501</c:v>
                </c:pt>
                <c:pt idx="13">
                  <c:v>45.840254126823467</c:v>
                </c:pt>
                <c:pt idx="14">
                  <c:v>43.990049989247147</c:v>
                </c:pt>
                <c:pt idx="15">
                  <c:v>40.378279132412359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15-4801-A372-588A2D1B2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scatterChart>
        <c:scatterStyle val="lineMarker"/>
        <c:varyColors val="0"/>
        <c:ser>
          <c:idx val="2"/>
          <c:order val="2"/>
          <c:spPr>
            <a:ln w="19050">
              <a:noFill/>
            </a:ln>
          </c:spPr>
          <c:marker>
            <c:symbol val="dash"/>
            <c:size val="5"/>
            <c:spPr>
              <a:noFill/>
              <a:ln w="25400">
                <a:solidFill>
                  <a:srgbClr val="00B0F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(9)'!$AG$4:$AG$19</c:f>
              <c:numCache>
                <c:formatCode>#,##0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415-4801-A372-588A2D1B2C3C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dash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(9)'!$AO$4:$AO$19</c:f>
              <c:numCache>
                <c:formatCode>General</c:formatCode>
                <c:ptCount val="16"/>
                <c:pt idx="0">
                  <c:v>3.6000000000000001E-5</c:v>
                </c:pt>
                <c:pt idx="1">
                  <c:v>43.689217475216786</c:v>
                </c:pt>
                <c:pt idx="2">
                  <c:v>64.58644245433527</c:v>
                </c:pt>
                <c:pt idx="3">
                  <c:v>100.58847505917122</c:v>
                </c:pt>
                <c:pt idx="4">
                  <c:v>181.13907646138131</c:v>
                </c:pt>
                <c:pt idx="5">
                  <c:v>284.44263476499049</c:v>
                </c:pt>
                <c:pt idx="6">
                  <c:v>412.5125288879949</c:v>
                </c:pt>
                <c:pt idx="7">
                  <c:v>611.35377485127469</c:v>
                </c:pt>
                <c:pt idx="8">
                  <c:v>869.94506464880988</c:v>
                </c:pt>
                <c:pt idx="9">
                  <c:v>1178.4827429903835</c:v>
                </c:pt>
                <c:pt idx="10">
                  <c:v>1500.162164529062</c:v>
                </c:pt>
                <c:pt idx="11">
                  <c:v>1981.449379079545</c:v>
                </c:pt>
                <c:pt idx="12">
                  <c:v>2093.2286810014857</c:v>
                </c:pt>
                <c:pt idx="13">
                  <c:v>2064.4531890772823</c:v>
                </c:pt>
                <c:pt idx="14">
                  <c:v>1898.5235402654523</c:v>
                </c:pt>
                <c:pt idx="15">
                  <c:v>1596.1047043159272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15-4801-A372-588A2D1B2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20128"/>
        <c:axId val="-798122304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  <c:valAx>
        <c:axId val="-7981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798122304"/>
        <c:crosses val="autoZero"/>
        <c:crossBetween val="midCat"/>
      </c:valAx>
      <c:valAx>
        <c:axId val="-79812230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-798120128"/>
        <c:crosses val="max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87941575484882573"/>
          <c:h val="9.8479397981604974E-2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1378584902318E-2"/>
          <c:y val="0.11362772443413224"/>
          <c:w val="0.86043238814801326"/>
          <c:h val="0.78166316984671569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diamond"/>
            <c:size val="5"/>
            <c:spPr>
              <a:solidFill>
                <a:schemeClr val="accent5"/>
              </a:solidFill>
              <a:ln>
                <a:noFill/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(9)'!$I$4:$I$19</c:f>
              <c:numCache>
                <c:formatCode>#,##0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06-4832-A4E0-964FD3E9AC44}"/>
            </c:ext>
          </c:extLst>
        </c:ser>
        <c:ser>
          <c:idx val="1"/>
          <c:order val="1"/>
          <c:spPr>
            <a:ln w="127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(9)'!$AH$4:$AH$19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06-4832-A4E0-964FD3E9AC44}"/>
            </c:ext>
          </c:extLst>
        </c:ser>
        <c:ser>
          <c:idx val="3"/>
          <c:order val="3"/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(9)'!$Q$4:$Q$19</c:f>
              <c:numCache>
                <c:formatCode>#,##0</c:formatCode>
                <c:ptCount val="16"/>
                <c:pt idx="0" formatCode="General">
                  <c:v>6.0000000000000001E-3</c:v>
                </c:pt>
                <c:pt idx="1">
                  <c:v>0.248</c:v>
                </c:pt>
                <c:pt idx="2">
                  <c:v>0.24099999999999999</c:v>
                </c:pt>
                <c:pt idx="3">
                  <c:v>0.224</c:v>
                </c:pt>
                <c:pt idx="4">
                  <c:v>0.22</c:v>
                </c:pt>
                <c:pt idx="5">
                  <c:v>0.219</c:v>
                </c:pt>
                <c:pt idx="6">
                  <c:v>0.22700000000000001</c:v>
                </c:pt>
                <c:pt idx="7">
                  <c:v>0.22700000000000001</c:v>
                </c:pt>
                <c:pt idx="8">
                  <c:v>0.23699999999999999</c:v>
                </c:pt>
                <c:pt idx="9">
                  <c:v>0.26600000000000001</c:v>
                </c:pt>
                <c:pt idx="10">
                  <c:v>0.29899999999999999</c:v>
                </c:pt>
                <c:pt idx="11">
                  <c:v>0.35799999999999998</c:v>
                </c:pt>
                <c:pt idx="12">
                  <c:v>0.378</c:v>
                </c:pt>
                <c:pt idx="13">
                  <c:v>0.40400000000000003</c:v>
                </c:pt>
                <c:pt idx="14">
                  <c:v>0.41799999999999998</c:v>
                </c:pt>
                <c:pt idx="15">
                  <c:v>0.42699999999999999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06-4832-A4E0-964FD3E9AC44}"/>
            </c:ext>
          </c:extLst>
        </c:ser>
        <c:ser>
          <c:idx val="4"/>
          <c:order val="4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(9)'!$AP$4:$AP$19</c:f>
              <c:numCache>
                <c:formatCode>General</c:formatCode>
                <c:ptCount val="16"/>
                <c:pt idx="0">
                  <c:v>0</c:v>
                </c:pt>
                <c:pt idx="1">
                  <c:v>6.1826834055454656</c:v>
                </c:pt>
                <c:pt idx="2">
                  <c:v>7.5485713509868324</c:v>
                </c:pt>
                <c:pt idx="3">
                  <c:v>9.4945385731326901</c:v>
                </c:pt>
                <c:pt idx="4">
                  <c:v>12.981779626013855</c:v>
                </c:pt>
                <c:pt idx="5">
                  <c:v>16.568728454065305</c:v>
                </c:pt>
                <c:pt idx="6">
                  <c:v>20.292860656942047</c:v>
                </c:pt>
                <c:pt idx="7">
                  <c:v>25.113949124600389</c:v>
                </c:pt>
                <c:pt idx="8">
                  <c:v>30.294277923561726</c:v>
                </c:pt>
                <c:pt idx="9">
                  <c:v>35.380946046885931</c:v>
                </c:pt>
                <c:pt idx="10">
                  <c:v>39.734411983418944</c:v>
                </c:pt>
                <c:pt idx="11">
                  <c:v>44.859497825188605</c:v>
                </c:pt>
                <c:pt idx="12">
                  <c:v>45.809319585997152</c:v>
                </c:pt>
                <c:pt idx="13">
                  <c:v>45.486731495510419</c:v>
                </c:pt>
                <c:pt idx="14">
                  <c:v>43.863262088510361</c:v>
                </c:pt>
                <c:pt idx="15">
                  <c:v>40.631406483148275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06-4832-A4E0-964FD3E9A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19040"/>
        <c:axId val="-798108160"/>
      </c:scatterChart>
      <c:scatterChart>
        <c:scatterStyle val="lineMarker"/>
        <c:varyColors val="0"/>
        <c:ser>
          <c:idx val="2"/>
          <c:order val="2"/>
          <c:spPr>
            <a:ln w="19050">
              <a:noFill/>
            </a:ln>
          </c:spPr>
          <c:marker>
            <c:symbol val="dash"/>
            <c:size val="5"/>
            <c:spPr>
              <a:noFill/>
              <a:ln w="25400">
                <a:solidFill>
                  <a:srgbClr val="00B0F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(9)'!$AI$4:$AI$19</c:f>
              <c:numCache>
                <c:formatCode>#,##0</c:formatCode>
                <c:ptCount val="16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>
                  <c:v>0</c:v>
                </c:pt>
                <c:pt idx="4" formatCode="General">
                  <c:v>0</c:v>
                </c:pt>
                <c:pt idx="5">
                  <c:v>0</c:v>
                </c:pt>
                <c:pt idx="6" formatCode="General">
                  <c:v>0</c:v>
                </c:pt>
                <c:pt idx="7">
                  <c:v>0</c:v>
                </c:pt>
                <c:pt idx="8" formatCode="General">
                  <c:v>0</c:v>
                </c:pt>
                <c:pt idx="9">
                  <c:v>0</c:v>
                </c:pt>
                <c:pt idx="10" formatCode="General">
                  <c:v>0</c:v>
                </c:pt>
                <c:pt idx="11">
                  <c:v>0</c:v>
                </c:pt>
                <c:pt idx="12" formatCode="General">
                  <c:v>0</c:v>
                </c:pt>
                <c:pt idx="13">
                  <c:v>0</c:v>
                </c:pt>
                <c:pt idx="14" formatCode="General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06-4832-A4E0-964FD3E9AC44}"/>
            </c:ext>
          </c:extLst>
        </c:ser>
        <c:ser>
          <c:idx val="5"/>
          <c:order val="5"/>
          <c:spPr>
            <a:ln w="19050">
              <a:noFill/>
            </a:ln>
          </c:spPr>
          <c:marker>
            <c:symbol val="dash"/>
            <c:size val="5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</c:spPr>
          </c:marker>
          <c:xVal>
            <c:numRef>
              <c:f>'20231123_02.csv (9)'!$F$4:$F$19</c:f>
              <c:numCache>
                <c:formatCode>General</c:formatCode>
                <c:ptCount val="16"/>
                <c:pt idx="0">
                  <c:v>0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86</c:v>
                </c:pt>
                <c:pt idx="5">
                  <c:v>112</c:v>
                </c:pt>
                <c:pt idx="6">
                  <c:v>141</c:v>
                </c:pt>
                <c:pt idx="7">
                  <c:v>183</c:v>
                </c:pt>
                <c:pt idx="8">
                  <c:v>237</c:v>
                </c:pt>
                <c:pt idx="9">
                  <c:v>306</c:v>
                </c:pt>
                <c:pt idx="10">
                  <c:v>391</c:v>
                </c:pt>
                <c:pt idx="11">
                  <c:v>603</c:v>
                </c:pt>
                <c:pt idx="12">
                  <c:v>756</c:v>
                </c:pt>
                <c:pt idx="13">
                  <c:v>928</c:v>
                </c:pt>
                <c:pt idx="14">
                  <c:v>1144</c:v>
                </c:pt>
                <c:pt idx="15">
                  <c:v>1420</c:v>
                </c:pt>
              </c:numCache>
            </c:numRef>
          </c:xVal>
          <c:yVal>
            <c:numRef>
              <c:f>'20231123_02.csv (9)'!$AQ$4:$AQ$19</c:f>
              <c:numCache>
                <c:formatCode>General</c:formatCode>
                <c:ptCount val="16"/>
                <c:pt idx="0">
                  <c:v>3.6000000000000001E-5</c:v>
                </c:pt>
                <c:pt idx="1">
                  <c:v>35.220467124056725</c:v>
                </c:pt>
                <c:pt idx="2">
                  <c:v>53.400599049763521</c:v>
                </c:pt>
                <c:pt idx="3">
                  <c:v>85.942885435941093</c:v>
                </c:pt>
                <c:pt idx="4">
                  <c:v>162.86301922294231</c:v>
                </c:pt>
                <c:pt idx="5">
                  <c:v>267.31362052167259</c:v>
                </c:pt>
                <c:pt idx="6">
                  <c:v>402.63876390381472</c:v>
                </c:pt>
                <c:pt idx="7">
                  <c:v>619.36023673044804</c:v>
                </c:pt>
                <c:pt idx="8">
                  <c:v>903.43995617423116</c:v>
                </c:pt>
                <c:pt idx="9">
                  <c:v>1233.0594358757101</c:v>
                </c:pt>
                <c:pt idx="10">
                  <c:v>1555.1517183019826</c:v>
                </c:pt>
                <c:pt idx="11">
                  <c:v>1980.3833086852665</c:v>
                </c:pt>
                <c:pt idx="12">
                  <c:v>2064.0047993250082</c:v>
                </c:pt>
                <c:pt idx="13">
                  <c:v>2032.4526790962868</c:v>
                </c:pt>
                <c:pt idx="14">
                  <c:v>1887.4907979393556</c:v>
                </c:pt>
                <c:pt idx="15">
                  <c:v>1616.3943006622151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06-4832-A4E0-964FD3E9A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98120128"/>
        <c:axId val="-798122304"/>
      </c:scatterChart>
      <c:valAx>
        <c:axId val="-7981190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798108160"/>
        <c:crosses val="autoZero"/>
        <c:crossBetween val="midCat"/>
      </c:valAx>
      <c:valAx>
        <c:axId val="-7981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798119040"/>
        <c:crosses val="autoZero"/>
        <c:crossBetween val="midCat"/>
      </c:valAx>
      <c:valAx>
        <c:axId val="-7981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798122304"/>
        <c:crosses val="autoZero"/>
        <c:crossBetween val="midCat"/>
      </c:valAx>
      <c:valAx>
        <c:axId val="-798122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-798120128"/>
        <c:crosses val="max"/>
        <c:crossBetween val="midCat"/>
      </c:valAx>
    </c:plotArea>
    <c:legend>
      <c:legendPos val="r"/>
      <c:layout>
        <c:manualLayout>
          <c:xMode val="edge"/>
          <c:yMode val="edge"/>
          <c:x val="6.60174864505573E-2"/>
          <c:y val="1.6556291390728478E-2"/>
          <c:w val="0.87941575484882573"/>
          <c:h val="9.8479397981604974E-2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0.78740157499999996" l="0.70000000000000007" r="0.70000000000000007" t="0.78740157499999996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6C22B01B-D4A6-41E4-9E19-038512590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6" name="Diagramm 2">
          <a:extLst>
            <a:ext uri="{FF2B5EF4-FFF2-40B4-BE49-F238E27FC236}">
              <a16:creationId xmlns:a16="http://schemas.microsoft.com/office/drawing/2014/main" id="{95917019-14DA-4A1F-8F54-3CE7984918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0B9F8E-7579-4998-AEAD-984075A2A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355870B-DD28-4704-AC60-57C11837D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72101E93-1035-4999-90E7-5F403400B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C796786-895E-4380-93CF-A208FCEEB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77AC2116-9907-4780-BB08-031D4F51B2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1D30F1B7-7A6B-45A0-BCB9-39AEEC8D7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9D1F10BC-6246-4918-A867-88C354AA6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0FED597-A595-45FB-8F77-5A4F94D5B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6552F90A-F475-4D33-B240-7DBA155FC6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362857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9EE0F112-7E4D-43C0-912D-F8F622371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8436FFE9-1FBA-4E45-A521-D4B66768B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844ED9-7083-47CA-8672-987ADA142A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E6BD2BD3-27E8-4E00-890B-2F4A7B56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5551B49-2D40-4875-8C9E-E2F23BFFE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58456C42-2038-447F-8714-EB05BE6093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867B3E5-95F0-47BC-A951-2E150C8C8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6594FFD5-61A4-4B49-8FA1-ABD663D0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27161AB-E593-4BB6-89C0-A770DD5322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92C95FCC-AF65-4087-8DCE-78EA6D9CE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E51A611-C804-460E-8E73-6AC61C4C3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E7228C01-978B-493F-B0CB-072C288533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C7F8BF7-7BFE-47B4-B287-9D0D2378A7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AABC9167-03C1-4FBB-B3FD-C2B4976FD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E5C978B-2223-44F1-A353-A438A2668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5B2B6FE6-169B-42F1-9DA1-17DB7B0EB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9AA43731-63E7-4FD0-95A0-A12C8E30B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1A35688D-C07A-430F-B736-EA91BD793D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2592BA9-00D2-4220-B8A6-2A5BD5D31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D2B4C28B-B1EF-4EAE-A3EE-2BF0F795F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83DB4A8-223A-4C13-8D7A-E11FEF1BF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EF7B940C-C74B-4871-92F9-7928ACF4E3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9089B0B-9E21-4711-B86F-54C5C66BA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6F2F108E-C712-4CB0-B4EA-EC8D4893A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77303781-28E4-4E30-AD4B-EA083C893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4A9FB2E8-9637-4193-9D6B-BB11214C0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3F02AB66-C646-4BBB-ABE5-E6807FC03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22</xdr:col>
      <xdr:colOff>299357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35B86718-1B84-48A6-B441-F3156227D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22</xdr:row>
      <xdr:rowOff>0</xdr:rowOff>
    </xdr:from>
    <xdr:to>
      <xdr:col>22</xdr:col>
      <xdr:colOff>299357</xdr:colOff>
      <xdr:row>37</xdr:row>
      <xdr:rowOff>22413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7AFAAF7-A0CC-4F65-A07F-679A77A6A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4</xdr:row>
      <xdr:rowOff>0</xdr:rowOff>
    </xdr:from>
    <xdr:to>
      <xdr:col>65</xdr:col>
      <xdr:colOff>533400</xdr:colOff>
      <xdr:row>19</xdr:row>
      <xdr:rowOff>22412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144EB5FF-CBA9-4DB4-B768-299938211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9525</xdr:colOff>
      <xdr:row>22</xdr:row>
      <xdr:rowOff>9525</xdr:rowOff>
    </xdr:from>
    <xdr:to>
      <xdr:col>65</xdr:col>
      <xdr:colOff>542925</xdr:colOff>
      <xdr:row>37</xdr:row>
      <xdr:rowOff>31937</xdr:rowOff>
    </xdr:to>
    <xdr:graphicFrame macro="">
      <xdr:nvGraphicFramePr>
        <xdr:cNvPr id="3" name="Diagramm 5">
          <a:extLst>
            <a:ext uri="{FF2B5EF4-FFF2-40B4-BE49-F238E27FC236}">
              <a16:creationId xmlns:a16="http://schemas.microsoft.com/office/drawing/2014/main" id="{8F51E987-1F5A-4F69-A5A7-FEF998309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9525</xdr:colOff>
      <xdr:row>40</xdr:row>
      <xdr:rowOff>9525</xdr:rowOff>
    </xdr:from>
    <xdr:to>
      <xdr:col>65</xdr:col>
      <xdr:colOff>542925</xdr:colOff>
      <xdr:row>55</xdr:row>
      <xdr:rowOff>31937</xdr:rowOff>
    </xdr:to>
    <xdr:graphicFrame macro="">
      <xdr:nvGraphicFramePr>
        <xdr:cNvPr id="4" name="Diagramm 6">
          <a:extLst>
            <a:ext uri="{FF2B5EF4-FFF2-40B4-BE49-F238E27FC236}">
              <a16:creationId xmlns:a16="http://schemas.microsoft.com/office/drawing/2014/main" id="{5D451142-E85A-4A37-A7B9-A472C5488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58</xdr:col>
      <xdr:colOff>9525</xdr:colOff>
      <xdr:row>58</xdr:row>
      <xdr:rowOff>0</xdr:rowOff>
    </xdr:from>
    <xdr:to>
      <xdr:col>65</xdr:col>
      <xdr:colOff>542925</xdr:colOff>
      <xdr:row>73</xdr:row>
      <xdr:rowOff>22412</xdr:rowOff>
    </xdr:to>
    <xdr:graphicFrame macro="">
      <xdr:nvGraphicFramePr>
        <xdr:cNvPr id="5" name="Diagramm 7">
          <a:extLst>
            <a:ext uri="{FF2B5EF4-FFF2-40B4-BE49-F238E27FC236}">
              <a16:creationId xmlns:a16="http://schemas.microsoft.com/office/drawing/2014/main" id="{48BF21D1-8240-435C-BE20-B376FAE6D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" xr16:uid="{280BE81F-7EED-41AC-A73D-E425978AAE3D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2" xr16:uid="{DB6B7B58-7E60-4A78-BAF6-D4A34755B33C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3" xr16:uid="{8D9ECD40-71DB-4BC5-932D-DD7CD1A0F47E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4" xr16:uid="{6CCEA85B-D79B-4CD6-A32B-C7E21A0DCA5C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5" xr16:uid="{CCB5FF65-970C-4BF0-8883-95F29F22395A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6" xr16:uid="{D2B2D96A-A8D4-4591-9A13-89A5D2C1A8E8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7" xr16:uid="{14EC997E-E899-4A9E-B856-1BB4DD890F1B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8" xr16:uid="{A36BE29C-4A7B-4160-AA4F-277453B2B647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9" xr16:uid="{E68BD3C6-2F8A-4CCB-8487-493FA27CE876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0" xr16:uid="{4F7D33B0-708D-4827-9BF7-C31FAE96286E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1" xr16:uid="{C3D5ACE6-DCEF-4EDE-93DD-BE56AA8B8979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2" xr16:uid="{1B22032A-FDD9-4D26-AC32-6486252AFE46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3" xr16:uid="{0ADD4C83-3FF4-4B43-B62C-87E19DF24D8A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4" xr16:uid="{8C86090B-44B2-4112-9A48-572F26AB4198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5" xr16:uid="{49BF5092-1E0B-461B-B875-A17484DCE519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6" xr16:uid="{60116FD7-6BA8-4C65-AB06-89FFF285D308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7" xr16:uid="{39EF72DE-E8F3-4B08-99B0-B79D283B01AB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8" xr16:uid="{14F24DC0-8B8A-482D-923B-93AA8014B383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19" xr16:uid="{24194A6F-3A20-45B4-AF32-C43495337CEC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20" xr16:uid="{855D96BF-F1D5-4800-9A09-B0CB1D2B887E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2B1DKLK2" connectionId="21" xr16:uid="{316C3F22-EA50-4E6B-8E3E-B01C6A9AF9DA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24BBB-3ED9-4945-8B99-D666DE401F06}">
  <sheetPr codeName="Tabelle6"/>
  <dimension ref="A1:P602"/>
  <sheetViews>
    <sheetView tabSelected="1" zoomScale="85" zoomScaleNormal="85" workbookViewId="0">
      <selection activeCell="K23" sqref="K23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2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0.47599999999999998</v>
      </c>
      <c r="C4">
        <f t="shared" ref="C4:C17" si="0">A4*B4*0.84*0.5</f>
        <v>0</v>
      </c>
      <c r="E4" s="6">
        <f t="shared" ref="E4:E17" si="1">$L$7*(1-EXP((-$L$8*$A4)/$L$7))*EXP((-$L$9*$A4)/$L$7)</f>
        <v>0</v>
      </c>
      <c r="F4" s="6">
        <f t="shared" ref="F4:F17" si="2">(E4-C4)^2</f>
        <v>0</v>
      </c>
      <c r="G4" s="13">
        <f>(A4/(($L$25*A4^2)+($L$26*A4)+$L$27))</f>
        <v>0</v>
      </c>
      <c r="H4" s="6">
        <f t="shared" ref="H4:H17" si="3">(G4-C4)^2</f>
        <v>0</v>
      </c>
      <c r="M4" s="3"/>
    </row>
    <row r="5" spans="1:16">
      <c r="A5">
        <v>39</v>
      </c>
      <c r="B5">
        <v>0.28100000000000003</v>
      </c>
      <c r="C5">
        <f t="shared" si="0"/>
        <v>4.6027800000000001</v>
      </c>
      <c r="E5" s="6">
        <f t="shared" si="1"/>
        <v>4.8240658336467552</v>
      </c>
      <c r="F5" s="6">
        <f t="shared" si="2"/>
        <v>4.896742017273939E-2</v>
      </c>
      <c r="G5" s="13">
        <f t="shared" ref="G5:G17" si="4">(A5/(($L$25*A5^2)+($L$26*A5)+$L$27))</f>
        <v>5.1067184091029292</v>
      </c>
      <c r="H5" s="6">
        <f t="shared" si="3"/>
        <v>0.25395392016919111</v>
      </c>
      <c r="K5" s="89" t="s">
        <v>14</v>
      </c>
      <c r="L5" s="89"/>
    </row>
    <row r="6" spans="1:16">
      <c r="A6">
        <v>49</v>
      </c>
      <c r="B6">
        <v>0.27700000000000002</v>
      </c>
      <c r="C6">
        <f t="shared" si="0"/>
        <v>5.7006600000000001</v>
      </c>
      <c r="E6" s="6">
        <f t="shared" si="1"/>
        <v>5.8714234601649489</v>
      </c>
      <c r="F6" s="6">
        <f t="shared" si="2"/>
        <v>2.9160159327506058E-2</v>
      </c>
      <c r="G6" s="13">
        <f t="shared" si="4"/>
        <v>6.1529338734237946</v>
      </c>
      <c r="H6" s="6">
        <f t="shared" si="3"/>
        <v>0.20455165658176253</v>
      </c>
    </row>
    <row r="7" spans="1:16">
      <c r="A7">
        <v>62</v>
      </c>
      <c r="B7">
        <v>0.27600000000000002</v>
      </c>
      <c r="C7">
        <f t="shared" si="0"/>
        <v>7.1870400000000005</v>
      </c>
      <c r="E7" s="6">
        <f t="shared" si="1"/>
        <v>7.1319966353774253</v>
      </c>
      <c r="F7" s="6">
        <f t="shared" si="2"/>
        <v>3.0297719889737628E-3</v>
      </c>
      <c r="G7" s="13">
        <f t="shared" si="4"/>
        <v>7.3873939685390644</v>
      </c>
      <c r="H7" s="6">
        <f t="shared" si="3"/>
        <v>4.0141712709352184E-2</v>
      </c>
      <c r="K7" t="s">
        <v>75</v>
      </c>
      <c r="L7">
        <v>22.288291863866906</v>
      </c>
      <c r="N7" s="86" t="s">
        <v>23</v>
      </c>
      <c r="O7" s="100">
        <f>L7*(L8/(L8+L9))*((L9/(L8+L9))^(L9/L8))</f>
        <v>19.64648134555555</v>
      </c>
    </row>
    <row r="8" spans="1:16">
      <c r="A8">
        <v>113</v>
      </c>
      <c r="B8">
        <v>0.23599999999999999</v>
      </c>
      <c r="C8">
        <f t="shared" si="0"/>
        <v>11.200559999999999</v>
      </c>
      <c r="E8" s="6">
        <f t="shared" si="1"/>
        <v>11.134457872383468</v>
      </c>
      <c r="F8" s="6">
        <f t="shared" si="2"/>
        <v>4.3694912754322097E-3</v>
      </c>
      <c r="G8" s="13">
        <f t="shared" si="4"/>
        <v>11.163048792503751</v>
      </c>
      <c r="H8" s="6">
        <f t="shared" si="3"/>
        <v>1.4070906878265747E-3</v>
      </c>
      <c r="K8" t="s">
        <v>25</v>
      </c>
      <c r="L8">
        <v>0.14045730635188952</v>
      </c>
      <c r="N8" s="87" t="s">
        <v>25</v>
      </c>
      <c r="O8" s="101">
        <f>L8</f>
        <v>0.14045730635188952</v>
      </c>
    </row>
    <row r="9" spans="1:16">
      <c r="A9">
        <v>185</v>
      </c>
      <c r="B9">
        <v>0.19700000000000001</v>
      </c>
      <c r="C9">
        <f t="shared" si="0"/>
        <v>15.306899999999999</v>
      </c>
      <c r="E9" s="6">
        <f t="shared" si="1"/>
        <v>14.860397996027297</v>
      </c>
      <c r="F9" s="6">
        <f t="shared" si="2"/>
        <v>0.1993640395516387</v>
      </c>
      <c r="G9" s="13">
        <f t="shared" si="4"/>
        <v>14.575373893985319</v>
      </c>
      <c r="H9" s="6">
        <f t="shared" si="3"/>
        <v>0.53513044378100127</v>
      </c>
      <c r="K9" t="s">
        <v>27</v>
      </c>
      <c r="L9">
        <v>3.8418520423838106E-3</v>
      </c>
      <c r="N9" s="87" t="s">
        <v>29</v>
      </c>
      <c r="O9" s="101">
        <f>O7/O8</f>
        <v>139.87511120521538</v>
      </c>
    </row>
    <row r="10" spans="1:16">
      <c r="A10">
        <v>241</v>
      </c>
      <c r="B10">
        <v>0.16700000000000001</v>
      </c>
      <c r="C10">
        <f t="shared" si="0"/>
        <v>16.903739999999999</v>
      </c>
      <c r="E10" s="6">
        <f t="shared" si="1"/>
        <v>16.699135843768307</v>
      </c>
      <c r="F10" s="6">
        <f t="shared" si="2"/>
        <v>4.186286074728273E-2</v>
      </c>
      <c r="G10" s="13">
        <f t="shared" si="4"/>
        <v>16.289535113542328</v>
      </c>
      <c r="H10" s="6">
        <f t="shared" si="3"/>
        <v>0.37724764254848026</v>
      </c>
      <c r="O10" s="102"/>
      <c r="P10" s="21"/>
    </row>
    <row r="11" spans="1:16">
      <c r="A11">
        <v>397</v>
      </c>
      <c r="B11">
        <v>0.11</v>
      </c>
      <c r="C11">
        <f t="shared" si="0"/>
        <v>18.3414</v>
      </c>
      <c r="E11" s="6">
        <f t="shared" si="1"/>
        <v>19.108694026573996</v>
      </c>
      <c r="F11" s="6">
        <f t="shared" si="2"/>
        <v>0.58874012321613611</v>
      </c>
      <c r="G11" s="13">
        <f t="shared" si="4"/>
        <v>18.79093087922557</v>
      </c>
      <c r="H11" s="6">
        <f t="shared" si="3"/>
        <v>0.2020780113773139</v>
      </c>
      <c r="K11" s="6" t="s">
        <v>74</v>
      </c>
      <c r="L11">
        <f>SUM(F:F)</f>
        <v>3.8974369166267819</v>
      </c>
      <c r="O11" s="102"/>
    </row>
    <row r="12" spans="1:16">
      <c r="A12">
        <v>614</v>
      </c>
      <c r="B12">
        <v>7.3999999999999996E-2</v>
      </c>
      <c r="C12">
        <f t="shared" si="0"/>
        <v>19.083120000000001</v>
      </c>
      <c r="E12" s="6">
        <f t="shared" si="1"/>
        <v>19.631444193386749</v>
      </c>
      <c r="F12" s="6">
        <f t="shared" si="2"/>
        <v>0.30065942105322729</v>
      </c>
      <c r="G12" s="13">
        <f t="shared" si="4"/>
        <v>19.741505279904615</v>
      </c>
      <c r="H12" s="6">
        <f t="shared" si="3"/>
        <v>0.43347117679507713</v>
      </c>
      <c r="O12" s="102"/>
    </row>
    <row r="13" spans="1:16">
      <c r="A13">
        <v>946</v>
      </c>
      <c r="B13">
        <v>4.9000000000000002E-2</v>
      </c>
      <c r="C13">
        <f t="shared" si="0"/>
        <v>19.468679999999999</v>
      </c>
      <c r="E13" s="6">
        <f t="shared" si="1"/>
        <v>18.885971933897007</v>
      </c>
      <c r="F13" s="6">
        <f t="shared" si="2"/>
        <v>0.3395486903014886</v>
      </c>
      <c r="G13" s="13">
        <f t="shared" si="4"/>
        <v>19.310449399454942</v>
      </c>
      <c r="H13" s="6">
        <f t="shared" si="3"/>
        <v>2.5036922948849356E-2</v>
      </c>
      <c r="O13" s="102"/>
    </row>
    <row r="14" spans="1:16">
      <c r="A14">
        <v>1453</v>
      </c>
      <c r="B14">
        <v>2.9000000000000001E-2</v>
      </c>
      <c r="C14">
        <f t="shared" si="0"/>
        <v>17.69754</v>
      </c>
      <c r="E14" s="6">
        <f t="shared" si="1"/>
        <v>17.348414571816075</v>
      </c>
      <c r="F14" s="6">
        <f t="shared" si="2"/>
        <v>0.12188856460460874</v>
      </c>
      <c r="G14" s="13">
        <f t="shared" si="4"/>
        <v>17.626396845207573</v>
      </c>
      <c r="H14" s="6">
        <f t="shared" si="3"/>
        <v>5.0613484738192367E-3</v>
      </c>
      <c r="O14" s="102"/>
    </row>
    <row r="15" spans="1:16">
      <c r="A15">
        <v>1796</v>
      </c>
      <c r="B15">
        <v>2.3E-2</v>
      </c>
      <c r="C15">
        <f t="shared" si="0"/>
        <v>17.349360000000001</v>
      </c>
      <c r="E15" s="6">
        <f t="shared" si="1"/>
        <v>16.353980053698336</v>
      </c>
      <c r="F15" s="6">
        <f t="shared" si="2"/>
        <v>0.99078123749950431</v>
      </c>
      <c r="G15" s="13">
        <f t="shared" si="4"/>
        <v>16.437895119698144</v>
      </c>
      <c r="H15" s="6">
        <f t="shared" si="3"/>
        <v>0.83076822802367811</v>
      </c>
      <c r="O15" s="102"/>
    </row>
    <row r="16" spans="1:16">
      <c r="A16">
        <v>2232</v>
      </c>
      <c r="B16">
        <v>1.4999999999999999E-2</v>
      </c>
      <c r="C16">
        <f t="shared" si="0"/>
        <v>14.061599999999999</v>
      </c>
      <c r="E16" s="6">
        <f t="shared" si="1"/>
        <v>15.170139260501248</v>
      </c>
      <c r="F16" s="6">
        <f t="shared" si="2"/>
        <v>1.2288592920726569</v>
      </c>
      <c r="G16" s="13">
        <f t="shared" si="4"/>
        <v>15.055294122388414</v>
      </c>
      <c r="H16" s="6">
        <f t="shared" si="3"/>
        <v>0.98742800886928328</v>
      </c>
      <c r="O16" s="102"/>
    </row>
    <row r="17" spans="1:15">
      <c r="A17">
        <v>2750</v>
      </c>
      <c r="B17">
        <v>1.2E-2</v>
      </c>
      <c r="C17">
        <f t="shared" si="0"/>
        <v>13.86</v>
      </c>
      <c r="E17" s="6">
        <f t="shared" si="1"/>
        <v>13.874347292970693</v>
      </c>
      <c r="F17" s="6">
        <f t="shared" si="2"/>
        <v>2.0584481558692013E-4</v>
      </c>
      <c r="G17" s="13">
        <f t="shared" si="4"/>
        <v>13.634047887852899</v>
      </c>
      <c r="H17" s="6">
        <f t="shared" si="3"/>
        <v>5.1054356983735644E-2</v>
      </c>
      <c r="O17" s="102"/>
    </row>
    <row r="18" spans="1:15">
      <c r="E18" s="6"/>
      <c r="F18" s="6"/>
      <c r="G18" s="6"/>
      <c r="H18" s="6"/>
      <c r="O18" s="102"/>
    </row>
    <row r="19" spans="1:15">
      <c r="E19" s="6"/>
      <c r="F19" s="6"/>
      <c r="G19" s="6"/>
      <c r="H19" s="6"/>
      <c r="O19" s="102"/>
    </row>
    <row r="20" spans="1:15">
      <c r="E20"/>
      <c r="F20"/>
      <c r="G20"/>
      <c r="H20"/>
      <c r="O20" s="102"/>
    </row>
    <row r="21" spans="1:15">
      <c r="E21"/>
      <c r="F21"/>
      <c r="G21"/>
      <c r="H21"/>
      <c r="O21" s="102"/>
    </row>
    <row r="22" spans="1:15">
      <c r="E22"/>
      <c r="F22"/>
      <c r="G22"/>
      <c r="H22"/>
      <c r="O22" s="102"/>
    </row>
    <row r="23" spans="1:15">
      <c r="E23"/>
      <c r="F23"/>
      <c r="G23"/>
      <c r="H23"/>
      <c r="K23" s="9" t="s">
        <v>15</v>
      </c>
      <c r="N23" s="86" t="s">
        <v>23</v>
      </c>
      <c r="O23" s="103">
        <f>1/(L26+2*SQRT(L25*L27))</f>
        <v>19.766253553435536</v>
      </c>
    </row>
    <row r="24" spans="1:15">
      <c r="E24"/>
      <c r="F24"/>
      <c r="G24"/>
      <c r="H24"/>
      <c r="N24" s="87" t="s">
        <v>25</v>
      </c>
      <c r="O24" s="104">
        <f>1/L27</f>
        <v>0.15648298765042326</v>
      </c>
    </row>
    <row r="25" spans="1:15">
      <c r="E25"/>
      <c r="F25"/>
      <c r="G25"/>
      <c r="H25"/>
      <c r="K25" t="s">
        <v>24</v>
      </c>
      <c r="L25" s="88">
        <v>1.4407872684843265E-5</v>
      </c>
      <c r="N25" s="87" t="s">
        <v>29</v>
      </c>
      <c r="O25" s="104">
        <f>L27/(L26+2*SQRT(L25*L27))</f>
        <v>126.3156707973429</v>
      </c>
    </row>
    <row r="26" spans="1:15">
      <c r="E26"/>
      <c r="F26"/>
      <c r="G26"/>
      <c r="H26"/>
      <c r="K26" t="s">
        <v>26</v>
      </c>
      <c r="L26">
        <v>3.1400331497165986E-2</v>
      </c>
    </row>
    <row r="27" spans="1:15">
      <c r="E27"/>
      <c r="F27"/>
      <c r="G27"/>
      <c r="H27"/>
      <c r="K27" t="s">
        <v>35</v>
      </c>
      <c r="L27">
        <v>6.3904710346786073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3.9473305199493707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2">
    <mergeCell ref="E2:F2"/>
    <mergeCell ref="G2:H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0FF1D-C3A5-48BF-9237-8593E049D53E}">
  <sheetPr codeName="Tabelle7"/>
  <dimension ref="A1:P602"/>
  <sheetViews>
    <sheetView zoomScale="70" zoomScaleNormal="70" workbookViewId="0">
      <selection activeCell="K23" sqref="K23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1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0.78700000000000003</v>
      </c>
      <c r="C4">
        <f t="shared" ref="C4:C17" si="0">A4*B4*0.84*0.5</f>
        <v>0</v>
      </c>
      <c r="E4" s="6">
        <f t="shared" ref="E4:E17" si="1">$L$7*(1-EXP((-$L$8*$A4)/$L$7))*EXP((-$L$9*$A4)/$L$7)</f>
        <v>0</v>
      </c>
      <c r="F4" s="6">
        <f t="shared" ref="F4:F17" si="2">(E4-C4)^2</f>
        <v>0</v>
      </c>
      <c r="G4" s="13">
        <f>(A4/(($L$25*A4^2)+($L$26*A4)+$L$27))</f>
        <v>0</v>
      </c>
      <c r="H4" s="6">
        <f t="shared" ref="H4:H17" si="3">(G4-C4)^2</f>
        <v>0</v>
      </c>
      <c r="M4" s="3"/>
    </row>
    <row r="5" spans="1:16">
      <c r="A5">
        <v>39</v>
      </c>
      <c r="B5">
        <v>0.68600000000000005</v>
      </c>
      <c r="C5">
        <f t="shared" si="0"/>
        <v>11.23668</v>
      </c>
      <c r="E5" s="6">
        <f t="shared" si="1"/>
        <v>13.498648968473566</v>
      </c>
      <c r="F5" s="6">
        <f t="shared" si="2"/>
        <v>5.1165036143373674</v>
      </c>
      <c r="G5" s="13">
        <f t="shared" ref="G5:G17" si="4">(A5/(($L$25*A5^2)+($L$26*A5)+$L$27))</f>
        <v>12.721725004058344</v>
      </c>
      <c r="H5" s="6">
        <f t="shared" si="3"/>
        <v>2.2053586640786476</v>
      </c>
      <c r="K5" s="89" t="s">
        <v>14</v>
      </c>
      <c r="L5" s="89"/>
    </row>
    <row r="6" spans="1:16">
      <c r="A6">
        <v>49</v>
      </c>
      <c r="B6">
        <v>0.69</v>
      </c>
      <c r="C6">
        <f t="shared" si="0"/>
        <v>14.200199999999997</v>
      </c>
      <c r="E6" s="6">
        <f t="shared" si="1"/>
        <v>16.810491985752158</v>
      </c>
      <c r="F6" s="6">
        <f t="shared" si="2"/>
        <v>6.8136242508819596</v>
      </c>
      <c r="G6" s="13">
        <f t="shared" si="4"/>
        <v>15.882444857212413</v>
      </c>
      <c r="H6" s="6">
        <f t="shared" si="3"/>
        <v>2.8299477596176206</v>
      </c>
    </row>
    <row r="7" spans="1:16">
      <c r="A7">
        <v>62</v>
      </c>
      <c r="B7">
        <v>0.68899999999999995</v>
      </c>
      <c r="C7">
        <f t="shared" si="0"/>
        <v>17.941559999999999</v>
      </c>
      <c r="E7" s="6">
        <f t="shared" si="1"/>
        <v>21.027789857607633</v>
      </c>
      <c r="F7" s="6">
        <f t="shared" si="2"/>
        <v>9.5248147339888369</v>
      </c>
      <c r="G7" s="13">
        <f t="shared" si="4"/>
        <v>19.929438965460445</v>
      </c>
      <c r="H7" s="6">
        <f t="shared" si="3"/>
        <v>3.9516627813200933</v>
      </c>
      <c r="K7" t="s">
        <v>75</v>
      </c>
      <c r="L7">
        <v>247.33275500003202</v>
      </c>
      <c r="N7" s="86" t="s">
        <v>23</v>
      </c>
      <c r="O7" s="90">
        <f>L7*(L8/(L8+L9))*((L9/(L8+L9))^(L9/L8))</f>
        <v>170.50146132358171</v>
      </c>
    </row>
    <row r="8" spans="1:16">
      <c r="A8">
        <v>113</v>
      </c>
      <c r="B8">
        <v>0.67400000000000004</v>
      </c>
      <c r="C8">
        <f t="shared" si="0"/>
        <v>31.988040000000002</v>
      </c>
      <c r="E8" s="6">
        <f t="shared" si="1"/>
        <v>36.648644736441447</v>
      </c>
      <c r="F8" s="6">
        <f t="shared" si="2"/>
        <v>21.721236509340439</v>
      </c>
      <c r="G8" s="13">
        <f t="shared" si="4"/>
        <v>35.130436083323133</v>
      </c>
      <c r="H8" s="6">
        <f t="shared" si="3"/>
        <v>9.8746531444845562</v>
      </c>
      <c r="K8" t="s">
        <v>25</v>
      </c>
      <c r="L8">
        <v>0.358327011150541</v>
      </c>
      <c r="N8" s="87" t="s">
        <v>25</v>
      </c>
      <c r="O8" s="91">
        <f>L8</f>
        <v>0.358327011150541</v>
      </c>
    </row>
    <row r="9" spans="1:16">
      <c r="A9">
        <v>185</v>
      </c>
      <c r="B9">
        <v>0.65700000000000003</v>
      </c>
      <c r="C9">
        <f t="shared" si="0"/>
        <v>51.048899999999996</v>
      </c>
      <c r="E9" s="6">
        <f t="shared" si="1"/>
        <v>56.372473065273084</v>
      </c>
      <c r="F9" s="6">
        <f t="shared" si="2"/>
        <v>28.340430181301102</v>
      </c>
      <c r="G9" s="13">
        <f t="shared" si="4"/>
        <v>54.774104329049543</v>
      </c>
      <c r="H9" s="6">
        <f t="shared" si="3"/>
        <v>13.877147293169482</v>
      </c>
      <c r="K9" t="s">
        <v>27</v>
      </c>
      <c r="L9">
        <v>4.1506696340944033E-2</v>
      </c>
      <c r="N9" s="87" t="s">
        <v>29</v>
      </c>
      <c r="O9" s="91">
        <f>O7/O8</f>
        <v>475.82642674947641</v>
      </c>
    </row>
    <row r="10" spans="1:16">
      <c r="A10">
        <v>241</v>
      </c>
      <c r="B10">
        <v>0.66400000000000003</v>
      </c>
      <c r="C10">
        <f t="shared" si="0"/>
        <v>67.210080000000005</v>
      </c>
      <c r="E10" s="6">
        <f t="shared" si="1"/>
        <v>70.003263740290407</v>
      </c>
      <c r="F10" s="6">
        <f t="shared" si="2"/>
        <v>7.8018754070226812</v>
      </c>
      <c r="G10" s="13">
        <f t="shared" si="4"/>
        <v>68.617037695990277</v>
      </c>
      <c r="H10" s="6">
        <f t="shared" si="3"/>
        <v>1.9795299583062542</v>
      </c>
      <c r="O10" s="92"/>
      <c r="P10" s="21"/>
    </row>
    <row r="11" spans="1:16">
      <c r="A11">
        <v>397</v>
      </c>
      <c r="B11">
        <v>0.62</v>
      </c>
      <c r="C11">
        <f t="shared" si="0"/>
        <v>103.37879999999998</v>
      </c>
      <c r="E11" s="6">
        <f t="shared" si="1"/>
        <v>101.20717315349023</v>
      </c>
      <c r="F11" s="6">
        <f t="shared" si="2"/>
        <v>4.715963160481893</v>
      </c>
      <c r="G11" s="13">
        <f t="shared" si="4"/>
        <v>100.97233382553351</v>
      </c>
      <c r="H11" s="6">
        <f t="shared" si="3"/>
        <v>5.7910794488513027</v>
      </c>
      <c r="K11" s="6" t="s">
        <v>74</v>
      </c>
      <c r="L11">
        <f>SUM(F:F)</f>
        <v>184.2667007703833</v>
      </c>
      <c r="O11" s="92"/>
    </row>
    <row r="12" spans="1:16">
      <c r="A12">
        <v>614</v>
      </c>
      <c r="B12">
        <v>0.53800000000000003</v>
      </c>
      <c r="C12">
        <f t="shared" si="0"/>
        <v>138.73944</v>
      </c>
      <c r="E12" s="6">
        <f t="shared" si="1"/>
        <v>131.45052250410419</v>
      </c>
      <c r="F12" s="6">
        <f t="shared" si="2"/>
        <v>53.12831826197614</v>
      </c>
      <c r="G12" s="13">
        <f t="shared" si="4"/>
        <v>132.80092239559252</v>
      </c>
      <c r="H12" s="6">
        <f t="shared" si="3"/>
        <v>35.26599133785755</v>
      </c>
      <c r="O12" s="92"/>
    </row>
    <row r="13" spans="1:16">
      <c r="A13">
        <v>946</v>
      </c>
      <c r="B13">
        <v>0.40500000000000003</v>
      </c>
      <c r="C13">
        <f t="shared" si="0"/>
        <v>160.91460000000001</v>
      </c>
      <c r="E13" s="6">
        <f t="shared" si="1"/>
        <v>157.43103489938332</v>
      </c>
      <c r="F13" s="6">
        <f t="shared" si="2"/>
        <v>12.135225810234548</v>
      </c>
      <c r="G13" s="13">
        <f t="shared" si="4"/>
        <v>159.65704435672424</v>
      </c>
      <c r="H13" s="6">
        <f t="shared" si="3"/>
        <v>1.5814461959347232</v>
      </c>
      <c r="O13" s="92"/>
    </row>
    <row r="14" spans="1:16">
      <c r="A14">
        <v>1453</v>
      </c>
      <c r="B14">
        <v>0.27200000000000002</v>
      </c>
      <c r="C14">
        <f t="shared" si="0"/>
        <v>165.99072000000001</v>
      </c>
      <c r="E14" s="6">
        <f t="shared" si="1"/>
        <v>170.19944288333133</v>
      </c>
      <c r="F14" s="6">
        <f t="shared" si="2"/>
        <v>17.713348308676693</v>
      </c>
      <c r="G14" s="13">
        <f t="shared" si="4"/>
        <v>171.3174780607211</v>
      </c>
      <c r="H14" s="6">
        <f t="shared" si="3"/>
        <v>28.374351437457111</v>
      </c>
      <c r="O14" s="92"/>
    </row>
    <row r="15" spans="1:16">
      <c r="A15">
        <v>1796</v>
      </c>
      <c r="B15">
        <v>0.221</v>
      </c>
      <c r="C15">
        <f t="shared" si="0"/>
        <v>166.70471999999998</v>
      </c>
      <c r="E15" s="6">
        <f t="shared" si="1"/>
        <v>169.40921582482187</v>
      </c>
      <c r="F15" s="6">
        <f t="shared" si="2"/>
        <v>7.3142976664790371</v>
      </c>
      <c r="G15" s="13">
        <f t="shared" si="4"/>
        <v>169.43252184033184</v>
      </c>
      <c r="H15" s="6">
        <f t="shared" si="3"/>
        <v>7.4409028801179042</v>
      </c>
      <c r="O15" s="92"/>
    </row>
    <row r="16" spans="1:16">
      <c r="A16">
        <v>2232</v>
      </c>
      <c r="B16">
        <v>0.17299999999999999</v>
      </c>
      <c r="C16">
        <f t="shared" si="0"/>
        <v>162.17711999999997</v>
      </c>
      <c r="E16" s="6">
        <f t="shared" si="1"/>
        <v>163.35980797430184</v>
      </c>
      <c r="F16" s="6">
        <f t="shared" si="2"/>
        <v>1.3987508445582626</v>
      </c>
      <c r="G16" s="13">
        <f t="shared" si="4"/>
        <v>162.36225679209616</v>
      </c>
      <c r="H16" s="6">
        <f t="shared" si="3"/>
        <v>3.4275631787667037E-2</v>
      </c>
      <c r="O16" s="92"/>
    </row>
    <row r="17" spans="1:15">
      <c r="A17">
        <v>2750</v>
      </c>
      <c r="B17">
        <v>0.13500000000000001</v>
      </c>
      <c r="C17">
        <f t="shared" si="0"/>
        <v>155.92499999999998</v>
      </c>
      <c r="E17" s="6">
        <f t="shared" si="1"/>
        <v>153.00227660886213</v>
      </c>
      <c r="F17" s="6">
        <f t="shared" si="2"/>
        <v>8.5423120211043368</v>
      </c>
      <c r="G17" s="13">
        <f t="shared" si="4"/>
        <v>151.54872207951828</v>
      </c>
      <c r="H17" s="6">
        <f t="shared" si="3"/>
        <v>19.151808437295614</v>
      </c>
      <c r="O17" s="92"/>
    </row>
    <row r="18" spans="1:15">
      <c r="E18" s="6"/>
      <c r="F18" s="6"/>
      <c r="G18" s="6"/>
      <c r="H18" s="6"/>
      <c r="O18" s="92"/>
    </row>
    <row r="19" spans="1:15">
      <c r="E19" s="6"/>
      <c r="F19" s="6"/>
      <c r="G19" s="6"/>
      <c r="H19" s="6"/>
      <c r="O19" s="92"/>
    </row>
    <row r="20" spans="1:15">
      <c r="E20"/>
      <c r="F20"/>
      <c r="G20"/>
      <c r="H20"/>
      <c r="O20" s="92"/>
    </row>
    <row r="21" spans="1:15">
      <c r="E21"/>
      <c r="F21"/>
      <c r="G21"/>
      <c r="H21"/>
      <c r="O21" s="92"/>
    </row>
    <row r="22" spans="1:15">
      <c r="E22"/>
      <c r="F22"/>
      <c r="G22"/>
      <c r="H22"/>
      <c r="O22" s="92"/>
    </row>
    <row r="23" spans="1:15">
      <c r="E23"/>
      <c r="F23"/>
      <c r="G23"/>
      <c r="H23"/>
      <c r="K23" s="9" t="s">
        <v>15</v>
      </c>
      <c r="N23" s="86" t="s">
        <v>23</v>
      </c>
      <c r="O23" s="93">
        <f>1/(L26+2*SQRT(L25*L27))</f>
        <v>171.36873069632975</v>
      </c>
    </row>
    <row r="24" spans="1:15">
      <c r="E24"/>
      <c r="F24"/>
      <c r="G24"/>
      <c r="H24"/>
      <c r="N24" s="87" t="s">
        <v>25</v>
      </c>
      <c r="O24" s="94">
        <f>1/L27</f>
        <v>0.33423040832425466</v>
      </c>
    </row>
    <row r="25" spans="1:15">
      <c r="E25"/>
      <c r="F25"/>
      <c r="G25"/>
      <c r="H25"/>
      <c r="K25" t="s">
        <v>24</v>
      </c>
      <c r="L25" s="88">
        <v>1.3358465316385494E-6</v>
      </c>
      <c r="N25" s="87" t="s">
        <v>29</v>
      </c>
      <c r="O25" s="94">
        <f>L27/(L26+2*SQRT(L25*L27))</f>
        <v>512.72633018500164</v>
      </c>
    </row>
    <row r="26" spans="1:15">
      <c r="E26"/>
      <c r="F26"/>
      <c r="G26"/>
      <c r="H26"/>
      <c r="K26" t="s">
        <v>26</v>
      </c>
      <c r="L26">
        <v>1.8369789391090535E-3</v>
      </c>
    </row>
    <row r="27" spans="1:15">
      <c r="E27"/>
      <c r="F27"/>
      <c r="G27"/>
      <c r="H27"/>
      <c r="K27" t="s">
        <v>35</v>
      </c>
      <c r="L27">
        <v>2.9919479948390779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132.35815497027852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2">
    <mergeCell ref="E2:F2"/>
    <mergeCell ref="G2:H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2C3AB-5459-4C9D-B8ED-180BDB8DC1F6}">
  <sheetPr codeName="Tabelle8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2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0.78700000000000003</v>
      </c>
      <c r="C4">
        <f t="shared" ref="C4:C17" si="0">A4*B4*0.84*0.5</f>
        <v>0</v>
      </c>
      <c r="E4" s="6">
        <f t="shared" ref="E4:E17" si="1">$L$7*(1-EXP((-$L$8*$A4)/$L$7))*EXP((-$L$9*$A4)/$L$7)</f>
        <v>0</v>
      </c>
      <c r="F4" s="6">
        <f t="shared" ref="F4:F17" si="2">(E4-C4)^2</f>
        <v>0</v>
      </c>
      <c r="G4" s="13">
        <f>(A4/(($L$25*A4^2)+($L$26*A4)+$L$27))</f>
        <v>0</v>
      </c>
      <c r="H4" s="6">
        <f t="shared" ref="H4:H17" si="3">(G4-C4)^2</f>
        <v>0</v>
      </c>
      <c r="M4" s="3"/>
    </row>
    <row r="5" spans="1:16">
      <c r="A5">
        <v>39</v>
      </c>
      <c r="B5">
        <v>0.66100000000000003</v>
      </c>
      <c r="C5">
        <f t="shared" si="0"/>
        <v>10.82718</v>
      </c>
      <c r="E5" s="6">
        <f t="shared" si="1"/>
        <v>14.175652818325423</v>
      </c>
      <c r="F5" s="6">
        <f t="shared" si="2"/>
        <v>11.2122702150642</v>
      </c>
      <c r="G5" s="13">
        <f t="shared" ref="G5:G17" si="4">(A5/(($L$25*A5^2)+($L$26*A5)+$L$27))</f>
        <v>13.262788090950917</v>
      </c>
      <c r="H5" s="6">
        <f t="shared" si="3"/>
        <v>5.9321867727055668</v>
      </c>
      <c r="K5" s="126" t="s">
        <v>14</v>
      </c>
      <c r="L5" s="126"/>
    </row>
    <row r="6" spans="1:16">
      <c r="A6">
        <v>49</v>
      </c>
      <c r="B6">
        <v>0.64500000000000002</v>
      </c>
      <c r="C6">
        <f t="shared" si="0"/>
        <v>13.274099999999999</v>
      </c>
      <c r="E6" s="6">
        <f t="shared" si="1"/>
        <v>17.557458457041459</v>
      </c>
      <c r="F6" s="6">
        <f t="shared" si="2"/>
        <v>18.347159671508599</v>
      </c>
      <c r="G6" s="13">
        <f t="shared" si="4"/>
        <v>16.485030694142004</v>
      </c>
      <c r="H6" s="6">
        <f t="shared" si="3"/>
        <v>10.310075922583261</v>
      </c>
    </row>
    <row r="7" spans="1:16">
      <c r="A7">
        <v>62</v>
      </c>
      <c r="B7">
        <v>0.67500000000000004</v>
      </c>
      <c r="C7">
        <f t="shared" si="0"/>
        <v>17.576999999999998</v>
      </c>
      <c r="E7" s="6">
        <f t="shared" si="1"/>
        <v>21.807965155855307</v>
      </c>
      <c r="F7" s="6">
        <f t="shared" si="2"/>
        <v>17.901066150061734</v>
      </c>
      <c r="G7" s="13">
        <f t="shared" si="4"/>
        <v>20.566680697428072</v>
      </c>
      <c r="H7" s="6">
        <f t="shared" si="3"/>
        <v>8.9381906725740166</v>
      </c>
      <c r="K7" t="s">
        <v>75</v>
      </c>
      <c r="L7">
        <v>151.90001053153136</v>
      </c>
      <c r="N7" s="86" t="s">
        <v>23</v>
      </c>
      <c r="O7" s="105">
        <f>L7*(L8/(L8+L9))*((L9/(L8+L9))^(L9/L8))</f>
        <v>115.91069350516445</v>
      </c>
    </row>
    <row r="8" spans="1:16">
      <c r="A8">
        <v>113</v>
      </c>
      <c r="B8">
        <v>0.65400000000000003</v>
      </c>
      <c r="C8">
        <f t="shared" si="0"/>
        <v>31.03884</v>
      </c>
      <c r="E8" s="6">
        <f t="shared" si="1"/>
        <v>36.993878777041949</v>
      </c>
      <c r="F8" s="6">
        <f t="shared" si="2"/>
        <v>35.462486836073275</v>
      </c>
      <c r="G8" s="13">
        <f t="shared" si="4"/>
        <v>35.435520074918323</v>
      </c>
      <c r="H8" s="6">
        <f t="shared" si="3"/>
        <v>19.330795681183783</v>
      </c>
      <c r="K8" t="s">
        <v>25</v>
      </c>
      <c r="L8">
        <v>0.38453004106031963</v>
      </c>
      <c r="N8" s="87" t="s">
        <v>25</v>
      </c>
      <c r="O8" s="106">
        <f>L8</f>
        <v>0.38453004106031963</v>
      </c>
    </row>
    <row r="9" spans="1:16">
      <c r="A9">
        <v>185</v>
      </c>
      <c r="B9">
        <v>0.65</v>
      </c>
      <c r="C9">
        <f t="shared" si="0"/>
        <v>50.504999999999995</v>
      </c>
      <c r="E9" s="6">
        <f t="shared" si="1"/>
        <v>54.857703413329659</v>
      </c>
      <c r="F9" s="6">
        <f t="shared" si="2"/>
        <v>18.946027004411707</v>
      </c>
      <c r="G9" s="13">
        <f t="shared" si="4"/>
        <v>53.486573648048271</v>
      </c>
      <c r="H9" s="6">
        <f t="shared" si="3"/>
        <v>8.8897814187359021</v>
      </c>
      <c r="K9" t="s">
        <v>27</v>
      </c>
      <c r="L9">
        <v>2.8607236460112845E-2</v>
      </c>
      <c r="N9" s="87" t="s">
        <v>29</v>
      </c>
      <c r="O9" s="106">
        <f>O7/O8</f>
        <v>301.43468943426979</v>
      </c>
    </row>
    <row r="10" spans="1:16">
      <c r="A10">
        <v>241</v>
      </c>
      <c r="B10">
        <v>0.65600000000000003</v>
      </c>
      <c r="C10">
        <f t="shared" si="0"/>
        <v>66.400319999999994</v>
      </c>
      <c r="E10" s="6">
        <f t="shared" si="1"/>
        <v>66.293700763302169</v>
      </c>
      <c r="F10" s="6">
        <f t="shared" si="2"/>
        <v>1.1367661634026673E-2</v>
      </c>
      <c r="G10" s="13">
        <f t="shared" si="4"/>
        <v>65.346213673501467</v>
      </c>
      <c r="H10" s="6">
        <f t="shared" si="3"/>
        <v>1.1111401475642189</v>
      </c>
      <c r="O10" s="107"/>
      <c r="P10" s="21"/>
    </row>
    <row r="11" spans="1:16">
      <c r="A11">
        <v>397</v>
      </c>
      <c r="B11">
        <v>0.57699999999999996</v>
      </c>
      <c r="C11">
        <f t="shared" si="0"/>
        <v>96.208979999999997</v>
      </c>
      <c r="E11" s="6">
        <f t="shared" si="1"/>
        <v>89.360152403171455</v>
      </c>
      <c r="F11" s="6">
        <f t="shared" si="2"/>
        <v>46.906439451080225</v>
      </c>
      <c r="G11" s="13">
        <f t="shared" si="4"/>
        <v>89.90703461358234</v>
      </c>
      <c r="H11" s="6">
        <f t="shared" si="3"/>
        <v>39.714515653390791</v>
      </c>
      <c r="K11" s="6" t="s">
        <v>74</v>
      </c>
      <c r="L11">
        <f>SUM(F:F)</f>
        <v>257.05861153931727</v>
      </c>
      <c r="O11" s="107"/>
    </row>
    <row r="12" spans="1:16">
      <c r="A12">
        <v>614</v>
      </c>
      <c r="B12">
        <v>0.441</v>
      </c>
      <c r="C12">
        <f t="shared" si="0"/>
        <v>113.72507999999999</v>
      </c>
      <c r="E12" s="6">
        <f t="shared" si="1"/>
        <v>106.71667986788792</v>
      </c>
      <c r="F12" s="6">
        <f t="shared" si="2"/>
        <v>49.117672411788512</v>
      </c>
      <c r="G12" s="13">
        <f t="shared" si="4"/>
        <v>108.75484786908368</v>
      </c>
      <c r="H12" s="6">
        <f t="shared" si="3"/>
        <v>24.703207435192937</v>
      </c>
      <c r="O12" s="107"/>
    </row>
    <row r="13" spans="1:16">
      <c r="A13">
        <v>946</v>
      </c>
      <c r="B13">
        <v>0.28899999999999998</v>
      </c>
      <c r="C13">
        <f t="shared" si="0"/>
        <v>114.82548</v>
      </c>
      <c r="E13" s="6">
        <f t="shared" si="1"/>
        <v>115.51951980218693</v>
      </c>
      <c r="F13" s="6">
        <f t="shared" si="2"/>
        <v>0.48169124701968075</v>
      </c>
      <c r="G13" s="13">
        <f t="shared" si="4"/>
        <v>117.97935045762844</v>
      </c>
      <c r="H13" s="6">
        <f t="shared" si="3"/>
        <v>9.9468988635014455</v>
      </c>
      <c r="O13" s="107"/>
    </row>
    <row r="14" spans="1:16">
      <c r="A14">
        <v>1453</v>
      </c>
      <c r="B14">
        <v>0.17499999999999999</v>
      </c>
      <c r="C14">
        <f t="shared" si="0"/>
        <v>106.79549999999999</v>
      </c>
      <c r="E14" s="6">
        <f t="shared" si="1"/>
        <v>112.6163974871987</v>
      </c>
      <c r="F14" s="6">
        <f t="shared" si="2"/>
        <v>33.882847556476214</v>
      </c>
      <c r="G14" s="13">
        <f t="shared" si="4"/>
        <v>113.63279466938926</v>
      </c>
      <c r="H14" s="6">
        <f t="shared" si="3"/>
        <v>46.748598396058867</v>
      </c>
      <c r="O14" s="107"/>
    </row>
    <row r="15" spans="1:16">
      <c r="A15">
        <v>1796</v>
      </c>
      <c r="B15">
        <v>0.13900000000000001</v>
      </c>
      <c r="C15">
        <f t="shared" si="0"/>
        <v>104.85048</v>
      </c>
      <c r="E15" s="6">
        <f t="shared" si="1"/>
        <v>107.15990873977093</v>
      </c>
      <c r="F15" s="6">
        <f t="shared" si="2"/>
        <v>5.3334611040799107</v>
      </c>
      <c r="G15" s="13">
        <f t="shared" si="4"/>
        <v>106.91936311019145</v>
      </c>
      <c r="H15" s="6">
        <f t="shared" si="3"/>
        <v>4.2802773236354481</v>
      </c>
      <c r="O15" s="107"/>
    </row>
    <row r="16" spans="1:16">
      <c r="A16">
        <v>2232</v>
      </c>
      <c r="B16">
        <v>0.105</v>
      </c>
      <c r="C16">
        <f t="shared" si="0"/>
        <v>98.43119999999999</v>
      </c>
      <c r="E16" s="6">
        <f t="shared" si="1"/>
        <v>99.41951247687588</v>
      </c>
      <c r="F16" s="6">
        <f t="shared" si="2"/>
        <v>0.9767615519485574</v>
      </c>
      <c r="G16" s="13">
        <f t="shared" si="4"/>
        <v>97.84965221372704</v>
      </c>
      <c r="H16" s="6">
        <f t="shared" si="3"/>
        <v>0.33819782771896811</v>
      </c>
      <c r="O16" s="107"/>
    </row>
    <row r="17" spans="1:15">
      <c r="A17">
        <v>2750</v>
      </c>
      <c r="B17">
        <v>8.2000000000000003E-2</v>
      </c>
      <c r="C17">
        <f t="shared" si="0"/>
        <v>94.71</v>
      </c>
      <c r="E17" s="6">
        <f t="shared" si="1"/>
        <v>90.411237308460642</v>
      </c>
      <c r="F17" s="6">
        <f t="shared" si="2"/>
        <v>18.479360678170654</v>
      </c>
      <c r="G17" s="13">
        <f t="shared" si="4"/>
        <v>87.902776162283558</v>
      </c>
      <c r="H17" s="6">
        <f t="shared" si="3"/>
        <v>46.338296376774878</v>
      </c>
      <c r="O17" s="107"/>
    </row>
    <row r="18" spans="1:15">
      <c r="E18" s="6"/>
      <c r="F18" s="6"/>
      <c r="G18" s="6"/>
      <c r="H18" s="6"/>
      <c r="O18" s="107"/>
    </row>
    <row r="19" spans="1:15">
      <c r="E19" s="6"/>
      <c r="F19" s="6"/>
      <c r="G19" s="6"/>
      <c r="H19" s="6"/>
      <c r="O19" s="107"/>
    </row>
    <row r="20" spans="1:15">
      <c r="E20"/>
      <c r="F20"/>
      <c r="G20"/>
      <c r="H20"/>
      <c r="O20" s="107"/>
    </row>
    <row r="21" spans="1:15">
      <c r="E21"/>
      <c r="F21"/>
      <c r="G21"/>
      <c r="H21"/>
      <c r="O21" s="107"/>
    </row>
    <row r="22" spans="1:15">
      <c r="E22"/>
      <c r="F22"/>
      <c r="G22"/>
      <c r="H22"/>
      <c r="O22" s="107"/>
    </row>
    <row r="23" spans="1:15">
      <c r="E23"/>
      <c r="F23"/>
      <c r="G23"/>
      <c r="H23"/>
      <c r="K23" s="9" t="s">
        <v>15</v>
      </c>
      <c r="N23" s="86" t="s">
        <v>23</v>
      </c>
      <c r="O23" s="108">
        <f>1/(L26+2*SQRT(L25*L27))</f>
        <v>118.21923196147351</v>
      </c>
    </row>
    <row r="24" spans="1:15">
      <c r="E24"/>
      <c r="F24"/>
      <c r="G24"/>
      <c r="H24"/>
      <c r="N24" s="87" t="s">
        <v>25</v>
      </c>
      <c r="O24" s="109">
        <f>1/L27</f>
        <v>0.35441578276638575</v>
      </c>
    </row>
    <row r="25" spans="1:15">
      <c r="E25"/>
      <c r="F25"/>
      <c r="G25"/>
      <c r="H25"/>
      <c r="K25" t="s">
        <v>24</v>
      </c>
      <c r="L25" s="88">
        <v>2.692203226455488E-6</v>
      </c>
      <c r="N25" s="87" t="s">
        <v>29</v>
      </c>
      <c r="O25" s="109">
        <f>L27/(L26+2*SQRT(L25*L27))</f>
        <v>333.56085623138875</v>
      </c>
    </row>
    <row r="26" spans="1:15">
      <c r="E26"/>
      <c r="F26"/>
      <c r="G26"/>
      <c r="H26"/>
      <c r="K26" t="s">
        <v>26</v>
      </c>
      <c r="L26">
        <v>2.9466298262323318E-3</v>
      </c>
    </row>
    <row r="27" spans="1:15">
      <c r="E27"/>
      <c r="F27"/>
      <c r="G27"/>
      <c r="H27"/>
      <c r="K27" t="s">
        <v>35</v>
      </c>
      <c r="L27">
        <v>2.8215447748814082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226.5821624916201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D64C-DFEE-426C-91A6-ECD890AAF871}">
  <sheetPr codeName="Tabelle9"/>
  <dimension ref="A1:P602"/>
  <sheetViews>
    <sheetView zoomScale="70" zoomScaleNormal="70" workbookViewId="0">
      <selection activeCell="K23" sqref="K23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4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0.79300000000000004</v>
      </c>
      <c r="C4">
        <f t="shared" ref="C4:C17" si="0">A4*B4*0.84*0.5</f>
        <v>0</v>
      </c>
      <c r="E4" s="6">
        <f t="shared" ref="E4:E17" si="1">$L$7*(1-EXP((-$L$8*$A4)/$L$7))*EXP((-$L$9*$A4)/$L$7)</f>
        <v>0</v>
      </c>
      <c r="F4" s="6">
        <f t="shared" ref="F4:F17" si="2">(E4-C4)^2</f>
        <v>0</v>
      </c>
      <c r="G4" s="13">
        <f>(A4/(($L$25*A4^2)+($L$26*A4)+$L$27))</f>
        <v>0</v>
      </c>
      <c r="H4" s="6">
        <f t="shared" ref="H4:H17" si="3">(G4-C4)^2</f>
        <v>0</v>
      </c>
      <c r="M4" s="3"/>
    </row>
    <row r="5" spans="1:16">
      <c r="A5">
        <v>39</v>
      </c>
      <c r="B5">
        <v>0.65</v>
      </c>
      <c r="C5">
        <f t="shared" si="0"/>
        <v>10.647</v>
      </c>
      <c r="E5" s="6">
        <f t="shared" si="1"/>
        <v>14.659154441996792</v>
      </c>
      <c r="F5" s="6">
        <f t="shared" si="2"/>
        <v>16.097383266434587</v>
      </c>
      <c r="G5" s="13">
        <f t="shared" ref="G5:G17" si="4">(A5/(($L$25*A5^2)+($L$26*A5)+$L$27))</f>
        <v>14.500470398448504</v>
      </c>
      <c r="H5" s="6">
        <f t="shared" si="3"/>
        <v>14.849234111718873</v>
      </c>
      <c r="K5" s="126" t="s">
        <v>14</v>
      </c>
      <c r="L5" s="126"/>
    </row>
    <row r="6" spans="1:16">
      <c r="A6">
        <v>49</v>
      </c>
      <c r="B6">
        <v>0.65500000000000003</v>
      </c>
      <c r="C6">
        <f t="shared" si="0"/>
        <v>13.479899999999999</v>
      </c>
      <c r="E6" s="6">
        <f t="shared" si="1"/>
        <v>18.045149768542561</v>
      </c>
      <c r="F6" s="6">
        <f t="shared" si="2"/>
        <v>20.841505449177923</v>
      </c>
      <c r="G6" s="13">
        <f t="shared" si="4"/>
        <v>17.831794989994489</v>
      </c>
      <c r="H6" s="6">
        <f t="shared" si="3"/>
        <v>18.938990003939139</v>
      </c>
    </row>
    <row r="7" spans="1:16">
      <c r="A7">
        <v>62</v>
      </c>
      <c r="B7">
        <v>0.68300000000000005</v>
      </c>
      <c r="C7">
        <f t="shared" si="0"/>
        <v>17.785320000000002</v>
      </c>
      <c r="E7" s="6">
        <f t="shared" si="1"/>
        <v>22.238044468119263</v>
      </c>
      <c r="F7" s="6">
        <f t="shared" si="2"/>
        <v>19.826755188987953</v>
      </c>
      <c r="G7" s="13">
        <f t="shared" si="4"/>
        <v>21.950082254793472</v>
      </c>
      <c r="H7" s="6">
        <f t="shared" si="3"/>
        <v>17.345244638952384</v>
      </c>
      <c r="K7" t="s">
        <v>75</v>
      </c>
      <c r="L7">
        <v>103.11541190333421</v>
      </c>
      <c r="N7" s="86" t="s">
        <v>23</v>
      </c>
      <c r="O7" s="115">
        <f>L7*(L8/(L8+L9))*((L9/(L8+L9))^(L9/L8))</f>
        <v>89.477502991763629</v>
      </c>
    </row>
    <row r="8" spans="1:16">
      <c r="A8">
        <v>113</v>
      </c>
      <c r="B8">
        <v>0.66200000000000003</v>
      </c>
      <c r="C8">
        <f t="shared" si="0"/>
        <v>31.418519999999997</v>
      </c>
      <c r="E8" s="6">
        <f t="shared" si="1"/>
        <v>36.622288973288221</v>
      </c>
      <c r="F8" s="6">
        <f t="shared" si="2"/>
        <v>27.07921152735717</v>
      </c>
      <c r="G8" s="13">
        <f t="shared" si="4"/>
        <v>36.046778880727956</v>
      </c>
      <c r="H8" s="6">
        <f t="shared" si="3"/>
        <v>21.420780267037216</v>
      </c>
      <c r="K8" t="s">
        <v>25</v>
      </c>
      <c r="L8">
        <v>0.40758275657871412</v>
      </c>
      <c r="N8" s="87" t="s">
        <v>25</v>
      </c>
      <c r="O8" s="116">
        <f>L8</f>
        <v>0.40758275657871412</v>
      </c>
    </row>
    <row r="9" spans="1:16">
      <c r="A9">
        <v>185</v>
      </c>
      <c r="B9">
        <v>0.64900000000000002</v>
      </c>
      <c r="C9">
        <f t="shared" si="0"/>
        <v>50.427299999999995</v>
      </c>
      <c r="E9" s="6">
        <f t="shared" si="1"/>
        <v>52.256744497739767</v>
      </c>
      <c r="F9" s="6">
        <f t="shared" si="2"/>
        <v>3.3468671703103254</v>
      </c>
      <c r="G9" s="13">
        <f t="shared" si="4"/>
        <v>51.414821786033578</v>
      </c>
      <c r="H9" s="6">
        <f t="shared" si="3"/>
        <v>0.97519927789095628</v>
      </c>
      <c r="K9" t="s">
        <v>27</v>
      </c>
      <c r="L9">
        <v>1.295008718119294E-2</v>
      </c>
      <c r="N9" s="87" t="s">
        <v>29</v>
      </c>
      <c r="O9" s="116">
        <f>O7/O8</f>
        <v>219.53211108057107</v>
      </c>
    </row>
    <row r="10" spans="1:16">
      <c r="A10">
        <v>241</v>
      </c>
      <c r="B10">
        <v>0.63900000000000001</v>
      </c>
      <c r="C10">
        <f t="shared" si="0"/>
        <v>64.679580000000001</v>
      </c>
      <c r="E10" s="6">
        <f t="shared" si="1"/>
        <v>61.451515476970414</v>
      </c>
      <c r="F10" s="6">
        <f t="shared" si="2"/>
        <v>10.420400564842238</v>
      </c>
      <c r="G10" s="13">
        <f t="shared" si="4"/>
        <v>60.565784276522855</v>
      </c>
      <c r="H10" s="6">
        <f t="shared" si="3"/>
        <v>16.923315254498856</v>
      </c>
      <c r="O10" s="117"/>
      <c r="P10" s="21"/>
    </row>
    <row r="11" spans="1:16">
      <c r="A11">
        <v>397</v>
      </c>
      <c r="B11">
        <v>0.51900000000000002</v>
      </c>
      <c r="C11">
        <f t="shared" si="0"/>
        <v>86.538060000000002</v>
      </c>
      <c r="E11" s="6">
        <f t="shared" si="1"/>
        <v>77.674989769676031</v>
      </c>
      <c r="F11" s="6">
        <f t="shared" si="2"/>
        <v>78.554013907654991</v>
      </c>
      <c r="G11" s="13">
        <f t="shared" si="4"/>
        <v>77.30862403748695</v>
      </c>
      <c r="H11" s="6">
        <f t="shared" si="3"/>
        <v>85.182488186129206</v>
      </c>
      <c r="K11" s="6" t="s">
        <v>74</v>
      </c>
      <c r="L11">
        <f>SUM(F:F)</f>
        <v>252.63092758929662</v>
      </c>
      <c r="O11" s="117"/>
    </row>
    <row r="12" spans="1:16">
      <c r="A12">
        <v>614</v>
      </c>
      <c r="B12">
        <v>0.35099999999999998</v>
      </c>
      <c r="C12">
        <f t="shared" si="0"/>
        <v>90.515879999999996</v>
      </c>
      <c r="E12" s="6">
        <f t="shared" si="1"/>
        <v>87.03296287120277</v>
      </c>
      <c r="F12" s="6">
        <f t="shared" si="2"/>
        <v>12.13071172606911</v>
      </c>
      <c r="G12" s="13">
        <f t="shared" si="4"/>
        <v>88.02061183427017</v>
      </c>
      <c r="H12" s="6">
        <f t="shared" si="3"/>
        <v>6.2263632189046891</v>
      </c>
      <c r="O12" s="117"/>
    </row>
    <row r="13" spans="1:16">
      <c r="A13">
        <v>946</v>
      </c>
      <c r="B13">
        <v>0.215</v>
      </c>
      <c r="C13">
        <f t="shared" si="0"/>
        <v>85.423799999999986</v>
      </c>
      <c r="E13" s="6">
        <f t="shared" si="1"/>
        <v>89.387698808687901</v>
      </c>
      <c r="F13" s="6">
        <f t="shared" si="2"/>
        <v>15.712493765517474</v>
      </c>
      <c r="G13" s="13">
        <f t="shared" si="4"/>
        <v>91.718314308355332</v>
      </c>
      <c r="H13" s="6">
        <f t="shared" si="3"/>
        <v>39.62091037809018</v>
      </c>
      <c r="O13" s="117"/>
    </row>
    <row r="14" spans="1:16">
      <c r="A14">
        <v>1453</v>
      </c>
      <c r="B14">
        <v>0.13200000000000001</v>
      </c>
      <c r="C14">
        <f t="shared" si="0"/>
        <v>80.554320000000004</v>
      </c>
      <c r="E14" s="6">
        <f t="shared" si="1"/>
        <v>85.640612637268632</v>
      </c>
      <c r="F14" s="6">
        <f t="shared" si="2"/>
        <v>25.87037279193305</v>
      </c>
      <c r="G14" s="13">
        <f t="shared" si="4"/>
        <v>87.357778498099378</v>
      </c>
      <c r="H14" s="6">
        <f t="shared" si="3"/>
        <v>46.287047535360593</v>
      </c>
      <c r="O14" s="117"/>
    </row>
    <row r="15" spans="1:16">
      <c r="A15">
        <v>1796</v>
      </c>
      <c r="B15">
        <v>0.105</v>
      </c>
      <c r="C15">
        <f t="shared" si="0"/>
        <v>79.203599999999994</v>
      </c>
      <c r="E15" s="6">
        <f t="shared" si="1"/>
        <v>82.225548402689768</v>
      </c>
      <c r="F15" s="6">
        <f t="shared" si="2"/>
        <v>9.1321721485192722</v>
      </c>
      <c r="G15" s="13">
        <f t="shared" si="4"/>
        <v>82.598328938636968</v>
      </c>
      <c r="H15" s="6">
        <f t="shared" si="3"/>
        <v>11.524184566819311</v>
      </c>
      <c r="O15" s="117"/>
    </row>
    <row r="16" spans="1:16">
      <c r="A16">
        <v>2232</v>
      </c>
      <c r="B16">
        <v>8.5000000000000006E-2</v>
      </c>
      <c r="C16">
        <f t="shared" si="0"/>
        <v>79.682400000000015</v>
      </c>
      <c r="E16" s="6">
        <f t="shared" si="1"/>
        <v>77.897076145028819</v>
      </c>
      <c r="F16" s="6">
        <f t="shared" si="2"/>
        <v>3.1873812671292123</v>
      </c>
      <c r="G16" s="13">
        <f t="shared" si="4"/>
        <v>76.399338474406463</v>
      </c>
      <c r="H16" s="6">
        <f t="shared" si="3"/>
        <v>10.778492980832665</v>
      </c>
      <c r="O16" s="117"/>
    </row>
    <row r="17" spans="1:15">
      <c r="A17">
        <v>2750</v>
      </c>
      <c r="B17">
        <v>6.6000000000000003E-2</v>
      </c>
      <c r="C17">
        <f t="shared" si="0"/>
        <v>76.23</v>
      </c>
      <c r="E17" s="6">
        <f t="shared" si="1"/>
        <v>73.000192139559488</v>
      </c>
      <c r="F17" s="6">
        <f t="shared" si="2"/>
        <v>10.431658815363345</v>
      </c>
      <c r="G17" s="13">
        <f t="shared" si="4"/>
        <v>69.604824225417985</v>
      </c>
      <c r="H17" s="6">
        <f t="shared" si="3"/>
        <v>43.89295404410845</v>
      </c>
      <c r="O17" s="117"/>
    </row>
    <row r="18" spans="1:15">
      <c r="E18" s="6"/>
      <c r="F18" s="6"/>
      <c r="G18" s="6"/>
      <c r="H18" s="6"/>
      <c r="O18" s="117"/>
    </row>
    <row r="19" spans="1:15">
      <c r="E19" s="6"/>
      <c r="F19" s="6"/>
      <c r="G19" s="6"/>
      <c r="H19" s="6"/>
      <c r="O19" s="117"/>
    </row>
    <row r="20" spans="1:15">
      <c r="E20"/>
      <c r="F20"/>
      <c r="G20"/>
      <c r="H20"/>
      <c r="O20" s="117"/>
    </row>
    <row r="21" spans="1:15">
      <c r="E21"/>
      <c r="F21"/>
      <c r="G21"/>
      <c r="H21"/>
      <c r="O21" s="117"/>
    </row>
    <row r="22" spans="1:15">
      <c r="E22"/>
      <c r="F22"/>
      <c r="G22"/>
      <c r="H22"/>
      <c r="O22" s="117"/>
    </row>
    <row r="23" spans="1:15">
      <c r="E23"/>
      <c r="F23"/>
      <c r="G23"/>
      <c r="H23"/>
      <c r="K23" s="9" t="s">
        <v>15</v>
      </c>
      <c r="N23" s="86" t="s">
        <v>23</v>
      </c>
      <c r="O23" s="118">
        <f>1/(L26+2*SQRT(L25*L27))</f>
        <v>91.72708008477133</v>
      </c>
    </row>
    <row r="24" spans="1:15">
      <c r="E24"/>
      <c r="F24"/>
      <c r="G24"/>
      <c r="H24"/>
      <c r="N24" s="87" t="s">
        <v>25</v>
      </c>
      <c r="O24" s="119">
        <f>1/L27</f>
        <v>0.40525987973515087</v>
      </c>
    </row>
    <row r="25" spans="1:15">
      <c r="E25"/>
      <c r="F25"/>
      <c r="G25"/>
      <c r="H25"/>
      <c r="K25" t="s">
        <v>24</v>
      </c>
      <c r="L25" s="88">
        <v>2.8686180608836691E-6</v>
      </c>
      <c r="N25" s="87" t="s">
        <v>29</v>
      </c>
      <c r="O25" s="119">
        <f>L27/(L26+2*SQRT(L25*L27))</f>
        <v>226.34137912866589</v>
      </c>
    </row>
    <row r="26" spans="1:15">
      <c r="E26"/>
      <c r="F26"/>
      <c r="G26"/>
      <c r="H26"/>
      <c r="K26" t="s">
        <v>26</v>
      </c>
      <c r="L26">
        <v>5.5808288169155148E-3</v>
      </c>
    </row>
    <row r="27" spans="1:15">
      <c r="E27"/>
      <c r="F27"/>
      <c r="G27"/>
      <c r="H27"/>
      <c r="K27" t="s">
        <v>35</v>
      </c>
      <c r="L27">
        <v>2.4675524274782124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333.96520446428246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3C617-87E0-4D2E-9AC7-E6218B09ACD3}">
  <sheetPr codeName="Tabelle10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2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0.8</v>
      </c>
      <c r="C4">
        <f t="shared" ref="C4:C17" si="0">A4*B4*0.84*0.5</f>
        <v>0</v>
      </c>
      <c r="E4" s="6">
        <f t="shared" ref="E4:E17" si="1">$L$7*(1-EXP((-$L$8*$A4)/$L$7))*EXP((-$L$9*$A4)/$L$7)</f>
        <v>0</v>
      </c>
      <c r="F4" s="6">
        <f t="shared" ref="F4:F17" si="2">(E4-C4)^2</f>
        <v>0</v>
      </c>
      <c r="G4" s="13">
        <f>(A4/(($L$25*A4^2)+($L$26*A4)+$L$27))</f>
        <v>0</v>
      </c>
      <c r="H4" s="6">
        <f t="shared" ref="H4:H17" si="3">(G4-C4)^2</f>
        <v>0</v>
      </c>
      <c r="M4" s="3"/>
    </row>
    <row r="5" spans="1:16">
      <c r="A5">
        <v>39</v>
      </c>
      <c r="B5">
        <v>0.68899999999999995</v>
      </c>
      <c r="C5">
        <f t="shared" si="0"/>
        <v>11.285819999999999</v>
      </c>
      <c r="E5" s="6">
        <f t="shared" si="1"/>
        <v>14.453463382408181</v>
      </c>
      <c r="F5" s="6">
        <f t="shared" si="2"/>
        <v>10.033964598114345</v>
      </c>
      <c r="G5" s="13">
        <f t="shared" ref="G5:G17" si="4">(A5/(($L$25*A5^2)+($L$26*A5)+$L$27))</f>
        <v>13.731356890554737</v>
      </c>
      <c r="H5" s="6">
        <f t="shared" si="3"/>
        <v>5.9806506830641375</v>
      </c>
      <c r="K5" s="126" t="s">
        <v>14</v>
      </c>
      <c r="L5" s="126"/>
    </row>
    <row r="6" spans="1:16">
      <c r="A6">
        <v>49</v>
      </c>
      <c r="B6">
        <v>0.69199999999999995</v>
      </c>
      <c r="C6">
        <f t="shared" si="0"/>
        <v>14.241359999999997</v>
      </c>
      <c r="E6" s="6">
        <f t="shared" si="1"/>
        <v>17.962863971988785</v>
      </c>
      <c r="F6" s="6">
        <f t="shared" si="2"/>
        <v>13.849591813528328</v>
      </c>
      <c r="G6" s="13">
        <f t="shared" si="4"/>
        <v>17.10372798686014</v>
      </c>
      <c r="H6" s="6">
        <f t="shared" si="3"/>
        <v>8.1931504922017862</v>
      </c>
    </row>
    <row r="7" spans="1:16">
      <c r="A7">
        <v>62</v>
      </c>
      <c r="B7">
        <v>0.69799999999999995</v>
      </c>
      <c r="C7">
        <f t="shared" si="0"/>
        <v>18.175919999999998</v>
      </c>
      <c r="E7" s="6">
        <f t="shared" si="1"/>
        <v>22.410148694674906</v>
      </c>
      <c r="F7" s="6">
        <f t="shared" si="2"/>
        <v>17.928692638808371</v>
      </c>
      <c r="G7" s="13">
        <f t="shared" si="4"/>
        <v>21.39857404640356</v>
      </c>
      <c r="H7" s="6">
        <f t="shared" si="3"/>
        <v>10.385499102801253</v>
      </c>
      <c r="K7" t="s">
        <v>75</v>
      </c>
      <c r="L7">
        <v>202.59760902242789</v>
      </c>
      <c r="N7" s="86" t="s">
        <v>23</v>
      </c>
      <c r="O7" s="105">
        <f>L7*(L8/(L8+L9))*((L9/(L8+L9))^(L9/L8))</f>
        <v>153.44468294609794</v>
      </c>
    </row>
    <row r="8" spans="1:16">
      <c r="A8">
        <v>113</v>
      </c>
      <c r="B8">
        <v>0.69699999999999995</v>
      </c>
      <c r="C8">
        <f t="shared" si="0"/>
        <v>33.079619999999998</v>
      </c>
      <c r="E8" s="6">
        <f t="shared" si="1"/>
        <v>38.664464473830698</v>
      </c>
      <c r="F8" s="6">
        <f t="shared" si="2"/>
        <v>31.190487796877303</v>
      </c>
      <c r="G8" s="13">
        <f t="shared" si="4"/>
        <v>37.293810198620008</v>
      </c>
      <c r="H8" s="6">
        <f t="shared" si="3"/>
        <v>17.759399030144955</v>
      </c>
      <c r="K8" t="s">
        <v>25</v>
      </c>
      <c r="L8">
        <v>0.38678696449921274</v>
      </c>
      <c r="N8" s="87" t="s">
        <v>25</v>
      </c>
      <c r="O8" s="106">
        <f>L8</f>
        <v>0.38678696449921274</v>
      </c>
    </row>
    <row r="9" spans="1:16">
      <c r="A9">
        <v>185</v>
      </c>
      <c r="B9">
        <v>0.68600000000000005</v>
      </c>
      <c r="C9">
        <f t="shared" si="0"/>
        <v>53.302199999999999</v>
      </c>
      <c r="E9" s="6">
        <f t="shared" si="1"/>
        <v>58.662459368906944</v>
      </c>
      <c r="F9" s="6">
        <f t="shared" si="2"/>
        <v>28.73238050195468</v>
      </c>
      <c r="G9" s="13">
        <f t="shared" si="4"/>
        <v>57.260139608111203</v>
      </c>
      <c r="H9" s="6">
        <f t="shared" si="3"/>
        <v>15.665285941455469</v>
      </c>
      <c r="K9" t="s">
        <v>27</v>
      </c>
      <c r="L9">
        <v>2.986566589551581E-2</v>
      </c>
      <c r="N9" s="87" t="s">
        <v>29</v>
      </c>
      <c r="O9" s="106">
        <f>O7/O8</f>
        <v>396.71627285776913</v>
      </c>
    </row>
    <row r="10" spans="1:16">
      <c r="A10">
        <v>241</v>
      </c>
      <c r="B10">
        <v>0.69199999999999995</v>
      </c>
      <c r="C10">
        <f t="shared" si="0"/>
        <v>70.044239999999988</v>
      </c>
      <c r="E10" s="6">
        <f t="shared" si="1"/>
        <v>72.106404444648902</v>
      </c>
      <c r="F10" s="6">
        <f t="shared" si="2"/>
        <v>4.2525221967741649</v>
      </c>
      <c r="G10" s="13">
        <f t="shared" si="4"/>
        <v>70.920538696955518</v>
      </c>
      <c r="H10" s="6">
        <f t="shared" si="3"/>
        <v>0.76789940628595976</v>
      </c>
      <c r="O10" s="107"/>
      <c r="P10" s="21"/>
    </row>
    <row r="11" spans="1:16">
      <c r="A11">
        <v>397</v>
      </c>
      <c r="B11">
        <v>0.64400000000000002</v>
      </c>
      <c r="C11">
        <f t="shared" si="0"/>
        <v>107.38056</v>
      </c>
      <c r="E11" s="6">
        <f t="shared" si="1"/>
        <v>101.5336059620211</v>
      </c>
      <c r="F11" s="6">
        <f t="shared" si="2"/>
        <v>34.186871522237809</v>
      </c>
      <c r="G11" s="13">
        <f t="shared" si="4"/>
        <v>101.39789321302882</v>
      </c>
      <c r="H11" s="6">
        <f t="shared" si="3"/>
        <v>35.792301883928062</v>
      </c>
      <c r="K11" s="6" t="s">
        <v>74</v>
      </c>
      <c r="L11">
        <f>SUM(F:F)</f>
        <v>232.88468185907971</v>
      </c>
      <c r="O11" s="107"/>
    </row>
    <row r="12" spans="1:16">
      <c r="A12">
        <v>614</v>
      </c>
      <c r="B12">
        <v>0.52300000000000002</v>
      </c>
      <c r="C12">
        <f t="shared" si="0"/>
        <v>134.87124</v>
      </c>
      <c r="E12" s="6">
        <f t="shared" si="1"/>
        <v>127.75415075415788</v>
      </c>
      <c r="F12" s="6">
        <f t="shared" si="2"/>
        <v>50.652959333281608</v>
      </c>
      <c r="G12" s="13">
        <f t="shared" si="4"/>
        <v>129.00506860780257</v>
      </c>
      <c r="H12" s="6">
        <f t="shared" si="3"/>
        <v>34.411966802635533</v>
      </c>
      <c r="O12" s="107"/>
    </row>
    <row r="13" spans="1:16">
      <c r="A13">
        <v>946</v>
      </c>
      <c r="B13">
        <v>0.374</v>
      </c>
      <c r="C13">
        <f t="shared" si="0"/>
        <v>148.59768</v>
      </c>
      <c r="E13" s="6">
        <f t="shared" si="1"/>
        <v>147.27177764277542</v>
      </c>
      <c r="F13" s="6">
        <f t="shared" si="2"/>
        <v>1.7580170608936927</v>
      </c>
      <c r="G13" s="13">
        <f t="shared" si="4"/>
        <v>149.38854215305892</v>
      </c>
      <c r="H13" s="6">
        <f t="shared" si="3"/>
        <v>0.62546294514099754</v>
      </c>
      <c r="O13" s="107"/>
    </row>
    <row r="14" spans="1:16">
      <c r="A14">
        <v>1453</v>
      </c>
      <c r="B14">
        <v>0.24399999999999999</v>
      </c>
      <c r="C14">
        <f t="shared" si="0"/>
        <v>148.90343999999999</v>
      </c>
      <c r="E14" s="6">
        <f t="shared" si="1"/>
        <v>153.32866310332616</v>
      </c>
      <c r="F14" s="6">
        <f t="shared" si="2"/>
        <v>19.582599514211743</v>
      </c>
      <c r="G14" s="13">
        <f t="shared" si="4"/>
        <v>154.71984487733948</v>
      </c>
      <c r="H14" s="6">
        <f t="shared" si="3"/>
        <v>33.830565697138653</v>
      </c>
      <c r="O14" s="107"/>
    </row>
    <row r="15" spans="1:16">
      <c r="A15">
        <v>1796</v>
      </c>
      <c r="B15">
        <v>0.19500000000000001</v>
      </c>
      <c r="C15">
        <f t="shared" si="0"/>
        <v>147.0924</v>
      </c>
      <c r="E15" s="6">
        <f t="shared" si="1"/>
        <v>150.43092588052727</v>
      </c>
      <c r="F15" s="6">
        <f t="shared" si="2"/>
        <v>11.145755054950392</v>
      </c>
      <c r="G15" s="13">
        <f t="shared" si="4"/>
        <v>150.79161948832922</v>
      </c>
      <c r="H15" s="6">
        <f t="shared" si="3"/>
        <v>13.684224822834697</v>
      </c>
      <c r="O15" s="107"/>
    </row>
    <row r="16" spans="1:16">
      <c r="A16">
        <v>2232</v>
      </c>
      <c r="B16">
        <v>0.153</v>
      </c>
      <c r="C16">
        <f t="shared" si="0"/>
        <v>143.42831999999999</v>
      </c>
      <c r="E16" s="6">
        <f t="shared" si="1"/>
        <v>143.73747703441387</v>
      </c>
      <c r="F16" s="6">
        <f t="shared" si="2"/>
        <v>9.5578071927588604E-2</v>
      </c>
      <c r="G16" s="13">
        <f t="shared" si="4"/>
        <v>142.73731053821956</v>
      </c>
      <c r="H16" s="6">
        <f t="shared" si="3"/>
        <v>0.47749407627007234</v>
      </c>
      <c r="O16" s="107"/>
    </row>
    <row r="17" spans="1:15">
      <c r="A17">
        <v>2750</v>
      </c>
      <c r="B17">
        <v>0.11899999999999999</v>
      </c>
      <c r="C17">
        <f t="shared" si="0"/>
        <v>137.44499999999999</v>
      </c>
      <c r="E17" s="6">
        <f t="shared" si="1"/>
        <v>134.36680868763494</v>
      </c>
      <c r="F17" s="6">
        <f t="shared" si="2"/>
        <v>9.4752617555196679</v>
      </c>
      <c r="G17" s="13">
        <f t="shared" si="4"/>
        <v>132.03751752324362</v>
      </c>
      <c r="H17" s="6">
        <f t="shared" si="3"/>
        <v>29.240866736427218</v>
      </c>
      <c r="O17" s="107"/>
    </row>
    <row r="18" spans="1:15">
      <c r="E18" s="6"/>
      <c r="F18" s="6"/>
      <c r="G18" s="6"/>
      <c r="H18" s="6"/>
      <c r="O18" s="107"/>
    </row>
    <row r="19" spans="1:15">
      <c r="E19" s="6"/>
      <c r="F19" s="6"/>
      <c r="G19" s="6"/>
      <c r="H19" s="6"/>
      <c r="O19" s="107"/>
    </row>
    <row r="20" spans="1:15">
      <c r="E20"/>
      <c r="F20"/>
      <c r="G20"/>
      <c r="H20"/>
      <c r="O20" s="107"/>
    </row>
    <row r="21" spans="1:15">
      <c r="E21"/>
      <c r="F21"/>
      <c r="G21"/>
      <c r="H21"/>
      <c r="O21" s="107"/>
    </row>
    <row r="22" spans="1:15">
      <c r="E22"/>
      <c r="F22"/>
      <c r="G22"/>
      <c r="H22"/>
      <c r="O22" s="107"/>
    </row>
    <row r="23" spans="1:15">
      <c r="E23"/>
      <c r="F23"/>
      <c r="G23"/>
      <c r="H23"/>
      <c r="K23" s="9" t="s">
        <v>15</v>
      </c>
      <c r="N23" s="86" t="s">
        <v>23</v>
      </c>
      <c r="O23" s="108">
        <f>1/(L26+2*SQRT(L25*L27))</f>
        <v>155.08052858024286</v>
      </c>
    </row>
    <row r="24" spans="1:15">
      <c r="E24"/>
      <c r="F24"/>
      <c r="G24"/>
      <c r="H24"/>
      <c r="N24" s="87" t="s">
        <v>25</v>
      </c>
      <c r="O24" s="109">
        <f>1/L27</f>
        <v>0.36403370684514058</v>
      </c>
    </row>
    <row r="25" spans="1:15">
      <c r="E25"/>
      <c r="F25"/>
      <c r="G25"/>
      <c r="H25"/>
      <c r="K25" t="s">
        <v>24</v>
      </c>
      <c r="L25" s="88">
        <v>1.5435401613281738E-6</v>
      </c>
      <c r="N25" s="87" t="s">
        <v>29</v>
      </c>
      <c r="O25" s="109">
        <f>L27/(L26+2*SQRT(L25*L27))</f>
        <v>426.00595951466073</v>
      </c>
    </row>
    <row r="26" spans="1:15">
      <c r="E26"/>
      <c r="F26"/>
      <c r="G26"/>
      <c r="H26"/>
      <c r="K26" t="s">
        <v>26</v>
      </c>
      <c r="L26">
        <v>2.3299610355193312E-3</v>
      </c>
    </row>
    <row r="27" spans="1:15">
      <c r="E27"/>
      <c r="F27"/>
      <c r="G27"/>
      <c r="H27"/>
      <c r="K27" t="s">
        <v>35</v>
      </c>
      <c r="L27">
        <v>2.7469983718441724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206.81476762032878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3269-3144-488E-ADF2-FE7A47276964}">
  <sheetPr codeName="Tabelle11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2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0.77900000000000003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39</v>
      </c>
      <c r="B5">
        <v>0.42</v>
      </c>
      <c r="C5">
        <f t="shared" si="0"/>
        <v>6.879599999999999</v>
      </c>
      <c r="E5" s="6">
        <f t="shared" si="1"/>
        <v>10.456010265730365</v>
      </c>
      <c r="F5" s="6">
        <f t="shared" si="2"/>
        <v>12.790710388821546</v>
      </c>
      <c r="G5" s="13">
        <f t="shared" ref="G5:G18" si="4">(A5/(($L$25*A5^2)+($L$26*A5)+$L$27))</f>
        <v>9.6759239129247643</v>
      </c>
      <c r="H5" s="6">
        <f t="shared" si="3"/>
        <v>7.8194274259948697</v>
      </c>
      <c r="K5" s="126" t="s">
        <v>14</v>
      </c>
      <c r="L5" s="126"/>
    </row>
    <row r="6" spans="1:16">
      <c r="A6">
        <v>49</v>
      </c>
      <c r="B6">
        <v>0.47199999999999998</v>
      </c>
      <c r="C6">
        <f t="shared" si="0"/>
        <v>9.7137599999999988</v>
      </c>
      <c r="E6" s="6">
        <f t="shared" si="1"/>
        <v>12.852521224291708</v>
      </c>
      <c r="F6" s="6">
        <f t="shared" si="2"/>
        <v>9.8518220231171902</v>
      </c>
      <c r="G6" s="13">
        <f t="shared" si="4"/>
        <v>11.970771383376372</v>
      </c>
      <c r="H6" s="6">
        <f t="shared" si="3"/>
        <v>5.0941003846905275</v>
      </c>
    </row>
    <row r="7" spans="1:16">
      <c r="A7">
        <v>62</v>
      </c>
      <c r="B7">
        <v>0.48599999999999999</v>
      </c>
      <c r="C7">
        <f t="shared" si="0"/>
        <v>12.655439999999999</v>
      </c>
      <c r="E7" s="6">
        <f t="shared" si="1"/>
        <v>15.808953943300638</v>
      </c>
      <c r="F7" s="6">
        <f t="shared" si="2"/>
        <v>9.944650190591549</v>
      </c>
      <c r="G7" s="13">
        <f t="shared" si="4"/>
        <v>14.841562065572703</v>
      </c>
      <c r="H7" s="6">
        <f t="shared" si="3"/>
        <v>4.7791296855838654</v>
      </c>
      <c r="K7" t="s">
        <v>75</v>
      </c>
      <c r="L7">
        <v>75.448990071558271</v>
      </c>
      <c r="N7" s="86" t="s">
        <v>23</v>
      </c>
      <c r="O7" s="105">
        <f>L7*(L8/(L8+L9))*((L9/(L8+L9))^(L9/L8))</f>
        <v>56.836202577812628</v>
      </c>
    </row>
    <row r="8" spans="1:16">
      <c r="A8">
        <v>113</v>
      </c>
      <c r="B8">
        <v>0.47799999999999998</v>
      </c>
      <c r="C8">
        <f t="shared" si="0"/>
        <v>22.685879999999997</v>
      </c>
      <c r="E8" s="6">
        <f t="shared" si="1"/>
        <v>25.840108151917139</v>
      </c>
      <c r="F8" s="6">
        <f t="shared" si="2"/>
        <v>9.9491552343466285</v>
      </c>
      <c r="G8" s="13">
        <f t="shared" si="4"/>
        <v>24.907730179752903</v>
      </c>
      <c r="H8" s="6">
        <f t="shared" si="3"/>
        <v>4.9366182212680201</v>
      </c>
      <c r="K8" t="s">
        <v>25</v>
      </c>
      <c r="L8">
        <v>0.29235187438363996</v>
      </c>
      <c r="N8" s="87" t="s">
        <v>25</v>
      </c>
      <c r="O8" s="106">
        <f>L8</f>
        <v>0.29235187438363996</v>
      </c>
    </row>
    <row r="9" spans="1:16">
      <c r="A9">
        <v>185</v>
      </c>
      <c r="B9">
        <v>0.47299999999999998</v>
      </c>
      <c r="C9">
        <f t="shared" si="0"/>
        <v>36.752099999999999</v>
      </c>
      <c r="E9" s="6">
        <f t="shared" si="1"/>
        <v>36.475112483417995</v>
      </c>
      <c r="F9" s="6">
        <f t="shared" si="2"/>
        <v>7.6722084342265906E-2</v>
      </c>
      <c r="G9" s="13">
        <f t="shared" si="4"/>
        <v>36.111360204339796</v>
      </c>
      <c r="H9" s="6">
        <f t="shared" si="3"/>
        <v>0.41054748574267813</v>
      </c>
      <c r="K9" t="s">
        <v>27</v>
      </c>
      <c r="L9">
        <v>2.3175869416636054E-2</v>
      </c>
      <c r="N9" s="87" t="s">
        <v>29</v>
      </c>
      <c r="O9" s="106">
        <f>O7/O8</f>
        <v>194.41025544180053</v>
      </c>
    </row>
    <row r="10" spans="1:16">
      <c r="A10">
        <v>241</v>
      </c>
      <c r="B10">
        <v>0.46100000000000002</v>
      </c>
      <c r="C10">
        <f t="shared" si="0"/>
        <v>46.662419999999997</v>
      </c>
      <c r="E10" s="6">
        <f t="shared" si="1"/>
        <v>42.526572945057119</v>
      </c>
      <c r="F10" s="6">
        <f t="shared" si="2"/>
        <v>17.105230861879683</v>
      </c>
      <c r="G10" s="13">
        <f t="shared" si="4"/>
        <v>42.707406978085075</v>
      </c>
      <c r="H10" s="6">
        <f t="shared" si="3"/>
        <v>15.642128003516607</v>
      </c>
      <c r="O10" s="107"/>
      <c r="P10" s="21"/>
    </row>
    <row r="11" spans="1:16">
      <c r="A11">
        <v>397</v>
      </c>
      <c r="B11">
        <v>0.33500000000000002</v>
      </c>
      <c r="C11">
        <f t="shared" si="0"/>
        <v>55.857900000000001</v>
      </c>
      <c r="E11" s="6">
        <f t="shared" si="1"/>
        <v>52.444907191225298</v>
      </c>
      <c r="F11" s="6">
        <f t="shared" si="2"/>
        <v>11.648519912747838</v>
      </c>
      <c r="G11" s="13">
        <f t="shared" si="4"/>
        <v>53.743636946995515</v>
      </c>
      <c r="H11" s="6">
        <f t="shared" si="3"/>
        <v>4.4701082572998478</v>
      </c>
      <c r="K11" s="6" t="s">
        <v>74</v>
      </c>
      <c r="L11">
        <f>SUM(F:F)</f>
        <v>91.507508061456619</v>
      </c>
      <c r="O11" s="107"/>
    </row>
    <row r="12" spans="1:16">
      <c r="A12">
        <v>614</v>
      </c>
      <c r="B12">
        <v>0.222</v>
      </c>
      <c r="C12">
        <f t="shared" si="0"/>
        <v>57.249359999999996</v>
      </c>
      <c r="E12" s="6">
        <f t="shared" si="1"/>
        <v>56.692845862949156</v>
      </c>
      <c r="F12" s="6">
        <f t="shared" si="2"/>
        <v>0.3097079847374411</v>
      </c>
      <c r="G12" s="13">
        <f t="shared" si="4"/>
        <v>58.279912049952756</v>
      </c>
      <c r="H12" s="6">
        <f t="shared" si="3"/>
        <v>1.0620375276618366</v>
      </c>
      <c r="O12" s="107"/>
    </row>
    <row r="13" spans="1:16">
      <c r="A13">
        <v>946</v>
      </c>
      <c r="B13">
        <v>0.13200000000000001</v>
      </c>
      <c r="C13">
        <f t="shared" si="0"/>
        <v>52.446239999999996</v>
      </c>
      <c r="E13" s="6">
        <f t="shared" si="1"/>
        <v>54.978884992979424</v>
      </c>
      <c r="F13" s="6">
        <f t="shared" si="2"/>
        <v>6.4142906604637666</v>
      </c>
      <c r="G13" s="13">
        <f t="shared" si="4"/>
        <v>55.713623483377219</v>
      </c>
      <c r="H13" s="6">
        <f t="shared" si="3"/>
        <v>10.675794827446278</v>
      </c>
      <c r="O13" s="107"/>
    </row>
    <row r="14" spans="1:16">
      <c r="A14">
        <v>1453</v>
      </c>
      <c r="B14">
        <v>7.4999999999999997E-2</v>
      </c>
      <c r="C14">
        <f t="shared" si="0"/>
        <v>45.769499999999994</v>
      </c>
      <c r="E14" s="6">
        <f t="shared" si="1"/>
        <v>48.112417290026841</v>
      </c>
      <c r="F14" s="6">
        <f t="shared" si="2"/>
        <v>5.4892614279067447</v>
      </c>
      <c r="G14" s="13">
        <f t="shared" si="4"/>
        <v>47.454564362367357</v>
      </c>
      <c r="H14" s="6">
        <f t="shared" si="3"/>
        <v>2.8394419053205286</v>
      </c>
      <c r="O14" s="107"/>
    </row>
    <row r="15" spans="1:16">
      <c r="A15">
        <v>1796</v>
      </c>
      <c r="B15">
        <v>5.6000000000000001E-2</v>
      </c>
      <c r="C15">
        <f t="shared" si="0"/>
        <v>42.24192</v>
      </c>
      <c r="E15" s="6">
        <f t="shared" si="1"/>
        <v>43.415839004461475</v>
      </c>
      <c r="F15" s="6">
        <f t="shared" si="2"/>
        <v>1.3780858290358193</v>
      </c>
      <c r="G15" s="13">
        <f t="shared" si="4"/>
        <v>42.309544502780291</v>
      </c>
      <c r="H15" s="6">
        <f t="shared" si="3"/>
        <v>4.5730733762815367E-3</v>
      </c>
      <c r="O15" s="107"/>
    </row>
    <row r="16" spans="1:16">
      <c r="A16">
        <v>2232</v>
      </c>
      <c r="B16">
        <v>4.2999999999999997E-2</v>
      </c>
      <c r="C16">
        <f t="shared" si="0"/>
        <v>40.309919999999998</v>
      </c>
      <c r="E16" s="6">
        <f t="shared" si="1"/>
        <v>38.003260766360185</v>
      </c>
      <c r="F16" s="6">
        <f t="shared" si="2"/>
        <v>5.3206768201358097</v>
      </c>
      <c r="G16" s="13">
        <f t="shared" si="4"/>
        <v>36.880713688397599</v>
      </c>
      <c r="H16" s="6">
        <f t="shared" si="3"/>
        <v>11.759455927533734</v>
      </c>
      <c r="O16" s="107"/>
    </row>
    <row r="17" spans="1:15">
      <c r="A17">
        <v>2750</v>
      </c>
      <c r="B17">
        <v>2.9000000000000001E-2</v>
      </c>
      <c r="C17">
        <f t="shared" si="0"/>
        <v>33.494999999999997</v>
      </c>
      <c r="E17" s="6">
        <f t="shared" si="1"/>
        <v>32.41782192984774</v>
      </c>
      <c r="F17" s="6">
        <f t="shared" si="2"/>
        <v>1.1603125948169413</v>
      </c>
      <c r="G17" s="13">
        <f t="shared" si="4"/>
        <v>31.828508170399743</v>
      </c>
      <c r="H17" s="6">
        <f t="shared" si="3"/>
        <v>2.7771950181244018</v>
      </c>
      <c r="O17" s="107"/>
    </row>
    <row r="18" spans="1:15">
      <c r="A18">
        <v>3348</v>
      </c>
      <c r="B18">
        <v>1.9E-2</v>
      </c>
      <c r="C18">
        <f t="shared" si="0"/>
        <v>26.717040000000001</v>
      </c>
      <c r="E18" s="6">
        <f t="shared" si="1"/>
        <v>26.978501370977384</v>
      </c>
      <c r="F18" s="6">
        <f t="shared" si="2"/>
        <v>6.8362048513372575E-2</v>
      </c>
      <c r="G18" s="13">
        <f t="shared" si="4"/>
        <v>27.389367738649309</v>
      </c>
      <c r="H18" s="6">
        <f t="shared" si="3"/>
        <v>0.4520245881572923</v>
      </c>
      <c r="O18" s="107"/>
    </row>
    <row r="19" spans="1:15">
      <c r="E19" s="6"/>
      <c r="F19" s="6"/>
      <c r="G19" s="6"/>
      <c r="H19" s="6"/>
      <c r="O19" s="107"/>
    </row>
    <row r="20" spans="1:15">
      <c r="E20"/>
      <c r="F20"/>
      <c r="G20"/>
      <c r="H20"/>
      <c r="O20" s="107"/>
    </row>
    <row r="21" spans="1:15">
      <c r="E21"/>
      <c r="F21"/>
      <c r="G21"/>
      <c r="H21"/>
      <c r="O21" s="107"/>
    </row>
    <row r="22" spans="1:15">
      <c r="E22"/>
      <c r="F22"/>
      <c r="G22"/>
      <c r="H22"/>
      <c r="O22" s="107"/>
    </row>
    <row r="23" spans="1:15">
      <c r="E23"/>
      <c r="F23"/>
      <c r="G23"/>
      <c r="H23"/>
      <c r="K23" s="9" t="s">
        <v>15</v>
      </c>
      <c r="N23" s="86" t="s">
        <v>23</v>
      </c>
      <c r="O23" s="108">
        <f>1/(L26+2*SQRT(L25*L27))</f>
        <v>58.353842866716001</v>
      </c>
    </row>
    <row r="24" spans="1:15">
      <c r="E24"/>
      <c r="F24"/>
      <c r="G24"/>
      <c r="H24"/>
      <c r="N24" s="87" t="s">
        <v>25</v>
      </c>
      <c r="O24" s="109">
        <f>1/L27</f>
        <v>0.26293436240954099</v>
      </c>
    </row>
    <row r="25" spans="1:15">
      <c r="E25"/>
      <c r="F25"/>
      <c r="G25"/>
      <c r="H25"/>
      <c r="K25" t="s">
        <v>24</v>
      </c>
      <c r="L25" s="88">
        <v>8.9283696717274655E-6</v>
      </c>
      <c r="N25" s="87" t="s">
        <v>29</v>
      </c>
      <c r="O25" s="109">
        <f>L27/(L26+2*SQRT(L25*L27))</f>
        <v>221.93311795369408</v>
      </c>
    </row>
    <row r="26" spans="1:15">
      <c r="E26"/>
      <c r="F26"/>
      <c r="G26"/>
      <c r="H26"/>
      <c r="K26" t="s">
        <v>26</v>
      </c>
      <c r="L26">
        <v>5.4823653058578888E-3</v>
      </c>
    </row>
    <row r="27" spans="1:15">
      <c r="E27"/>
      <c r="F27"/>
      <c r="G27"/>
      <c r="H27"/>
      <c r="K27" t="s">
        <v>35</v>
      </c>
      <c r="L27">
        <v>3.8032305509099693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72.722582331716765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E22A8-B62C-4AEA-ACB8-D685283E1C85}">
  <sheetPr codeName="Tabelle12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2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0.45500000000000002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26</v>
      </c>
      <c r="B5">
        <v>0.22700000000000001</v>
      </c>
      <c r="C5">
        <f t="shared" si="0"/>
        <v>2.4788399999999999</v>
      </c>
      <c r="E5" s="6">
        <f t="shared" si="1"/>
        <v>2.7493606496793839</v>
      </c>
      <c r="F5" s="6">
        <f t="shared" si="2"/>
        <v>7.318142190295597E-2</v>
      </c>
      <c r="G5" s="13">
        <f t="shared" ref="G5:G18" si="4">(A5/(($L$25*A5^2)+($L$26*A5)+$L$27))</f>
        <v>2.8784740021167172</v>
      </c>
      <c r="H5" s="6">
        <f t="shared" si="3"/>
        <v>0.15970733564782441</v>
      </c>
      <c r="K5" s="126" t="s">
        <v>14</v>
      </c>
      <c r="L5" s="126"/>
    </row>
    <row r="6" spans="1:16">
      <c r="A6">
        <v>36</v>
      </c>
      <c r="B6">
        <v>0.248</v>
      </c>
      <c r="C6">
        <f t="shared" si="0"/>
        <v>3.7497600000000002</v>
      </c>
      <c r="E6" s="6">
        <f t="shared" si="1"/>
        <v>3.6744785817322181</v>
      </c>
      <c r="F6" s="6">
        <f t="shared" si="2"/>
        <v>5.6672919364087592E-3</v>
      </c>
      <c r="G6" s="13">
        <f t="shared" si="4"/>
        <v>3.8185188399788124</v>
      </c>
      <c r="H6" s="6">
        <f t="shared" si="3"/>
        <v>4.7277780752318973E-3</v>
      </c>
    </row>
    <row r="7" spans="1:16">
      <c r="A7">
        <v>49</v>
      </c>
      <c r="B7">
        <v>0.248</v>
      </c>
      <c r="C7">
        <f t="shared" si="0"/>
        <v>5.1038399999999999</v>
      </c>
      <c r="E7" s="6">
        <f t="shared" si="1"/>
        <v>4.7792058584872397</v>
      </c>
      <c r="F7" s="6">
        <f t="shared" si="2"/>
        <v>0.10538732583572685</v>
      </c>
      <c r="G7" s="13">
        <f t="shared" si="4"/>
        <v>4.9239555659678444</v>
      </c>
      <c r="H7" s="6">
        <f t="shared" si="3"/>
        <v>3.23584096070689E-2</v>
      </c>
      <c r="K7" t="s">
        <v>75</v>
      </c>
      <c r="L7">
        <v>17.369569967138318</v>
      </c>
      <c r="N7" s="86" t="s">
        <v>23</v>
      </c>
      <c r="O7" s="105">
        <f>L7*(L8/(L8+L9))*((L9/(L8+L9))^(L9/L8))</f>
        <v>14.364579924862637</v>
      </c>
    </row>
    <row r="8" spans="1:16">
      <c r="A8">
        <v>100</v>
      </c>
      <c r="B8">
        <v>0.20300000000000001</v>
      </c>
      <c r="C8">
        <f t="shared" si="0"/>
        <v>8.5259999999999998</v>
      </c>
      <c r="E8" s="6">
        <f t="shared" si="1"/>
        <v>8.2103265007811093</v>
      </c>
      <c r="F8" s="6">
        <f t="shared" si="2"/>
        <v>9.9649758109098888E-2</v>
      </c>
      <c r="G8" s="13">
        <f t="shared" si="4"/>
        <v>8.2553337150416422</v>
      </c>
      <c r="H8" s="6">
        <f t="shared" si="3"/>
        <v>7.3260237813158866E-2</v>
      </c>
      <c r="K8" t="s">
        <v>25</v>
      </c>
      <c r="L8">
        <v>0.11613526149896289</v>
      </c>
      <c r="N8" s="87" t="s">
        <v>25</v>
      </c>
      <c r="O8" s="106">
        <f>L8</f>
        <v>0.11613526149896289</v>
      </c>
    </row>
    <row r="9" spans="1:16">
      <c r="A9">
        <v>172</v>
      </c>
      <c r="B9">
        <v>0.156</v>
      </c>
      <c r="C9">
        <f t="shared" si="0"/>
        <v>11.269439999999999</v>
      </c>
      <c r="E9" s="6">
        <f t="shared" si="1"/>
        <v>11.252924765129178</v>
      </c>
      <c r="F9" s="6">
        <f t="shared" si="2"/>
        <v>2.7275298283839896E-4</v>
      </c>
      <c r="G9" s="13">
        <f t="shared" si="4"/>
        <v>11.126680242247852</v>
      </c>
      <c r="H9" s="6">
        <f t="shared" si="3"/>
        <v>2.0380348433451725E-2</v>
      </c>
      <c r="K9" t="s">
        <v>27</v>
      </c>
      <c r="L9">
        <v>5.3896086276625753E-3</v>
      </c>
      <c r="N9" s="87" t="s">
        <v>29</v>
      </c>
      <c r="O9" s="106">
        <f>O7/O8</f>
        <v>123.68835906905773</v>
      </c>
    </row>
    <row r="10" spans="1:16">
      <c r="A10">
        <v>228</v>
      </c>
      <c r="B10">
        <v>0.13200000000000001</v>
      </c>
      <c r="C10">
        <f t="shared" si="0"/>
        <v>12.640319999999999</v>
      </c>
      <c r="E10" s="6">
        <f t="shared" si="1"/>
        <v>12.659416205847787</v>
      </c>
      <c r="F10" s="6">
        <f t="shared" si="2"/>
        <v>3.6466507778108986E-4</v>
      </c>
      <c r="G10" s="13">
        <f t="shared" si="4"/>
        <v>12.461150060317481</v>
      </c>
      <c r="H10" s="6">
        <f t="shared" si="3"/>
        <v>3.210186728583727E-2</v>
      </c>
      <c r="O10" s="107"/>
      <c r="P10" s="21"/>
    </row>
    <row r="11" spans="1:16">
      <c r="A11">
        <v>384</v>
      </c>
      <c r="B11">
        <v>8.4000000000000005E-2</v>
      </c>
      <c r="C11">
        <f t="shared" si="0"/>
        <v>13.54752</v>
      </c>
      <c r="E11" s="6">
        <f t="shared" si="1"/>
        <v>14.235457372290538</v>
      </c>
      <c r="F11" s="6">
        <f t="shared" si="2"/>
        <v>0.47325782819400997</v>
      </c>
      <c r="G11" s="13">
        <f t="shared" si="4"/>
        <v>14.067389072468757</v>
      </c>
      <c r="H11" s="6">
        <f t="shared" si="3"/>
        <v>0.27026385250952495</v>
      </c>
      <c r="K11" s="6" t="s">
        <v>74</v>
      </c>
      <c r="L11">
        <f>SUM(F:F)</f>
        <v>8.8094782783700403</v>
      </c>
      <c r="O11" s="107"/>
    </row>
    <row r="12" spans="1:16">
      <c r="A12">
        <v>601</v>
      </c>
      <c r="B12">
        <v>5.3999999999999999E-2</v>
      </c>
      <c r="C12">
        <f t="shared" si="0"/>
        <v>13.63068</v>
      </c>
      <c r="E12" s="6">
        <f t="shared" si="1"/>
        <v>14.155304073092928</v>
      </c>
      <c r="F12" s="6">
        <f t="shared" si="2"/>
        <v>0.27523041806861426</v>
      </c>
      <c r="G12" s="13">
        <f t="shared" si="4"/>
        <v>14.143896482294899</v>
      </c>
      <c r="H12" s="6">
        <f t="shared" si="3"/>
        <v>0.26339115769915039</v>
      </c>
      <c r="O12" s="107"/>
    </row>
    <row r="13" spans="1:16">
      <c r="A13">
        <v>933</v>
      </c>
      <c r="B13">
        <v>3.2000000000000001E-2</v>
      </c>
      <c r="C13">
        <f t="shared" si="0"/>
        <v>12.53952</v>
      </c>
      <c r="E13" s="6">
        <f t="shared" si="1"/>
        <v>12.978104193816009</v>
      </c>
      <c r="F13" s="6">
        <f t="shared" si="2"/>
        <v>0.19235609506523865</v>
      </c>
      <c r="G13" s="13">
        <f t="shared" si="4"/>
        <v>13.001192328457632</v>
      </c>
      <c r="H13" s="6">
        <f t="shared" si="3"/>
        <v>0.21314133886349232</v>
      </c>
      <c r="O13" s="107"/>
    </row>
    <row r="14" spans="1:16">
      <c r="A14">
        <v>1440</v>
      </c>
      <c r="B14">
        <v>2.1000000000000001E-2</v>
      </c>
      <c r="C14">
        <f t="shared" si="0"/>
        <v>12.700800000000001</v>
      </c>
      <c r="E14" s="6">
        <f t="shared" si="1"/>
        <v>11.109892961798423</v>
      </c>
      <c r="F14" s="6">
        <f t="shared" si="2"/>
        <v>2.5309852041993186</v>
      </c>
      <c r="G14" s="13">
        <f t="shared" si="4"/>
        <v>11.032761365222736</v>
      </c>
      <c r="H14" s="6">
        <f t="shared" si="3"/>
        <v>2.7823528871096008</v>
      </c>
      <c r="O14" s="107"/>
    </row>
    <row r="15" spans="1:16">
      <c r="A15">
        <v>1783</v>
      </c>
      <c r="B15">
        <v>1.4999999999999999E-2</v>
      </c>
      <c r="C15">
        <f t="shared" si="0"/>
        <v>11.232899999999999</v>
      </c>
      <c r="E15" s="6">
        <f t="shared" si="1"/>
        <v>9.9888115041752688</v>
      </c>
      <c r="F15" s="6">
        <f t="shared" si="2"/>
        <v>1.5477561854434398</v>
      </c>
      <c r="G15" s="13">
        <f t="shared" si="4"/>
        <v>9.9106782068476349</v>
      </c>
      <c r="H15" s="6">
        <f t="shared" si="3"/>
        <v>1.7482704702870531</v>
      </c>
      <c r="O15" s="107"/>
    </row>
    <row r="16" spans="1:16">
      <c r="A16">
        <v>2219</v>
      </c>
      <c r="B16">
        <v>0.01</v>
      </c>
      <c r="C16">
        <f t="shared" si="0"/>
        <v>9.3198000000000008</v>
      </c>
      <c r="E16" s="6">
        <f t="shared" si="1"/>
        <v>8.724937843200248</v>
      </c>
      <c r="F16" s="6">
        <f t="shared" si="2"/>
        <v>0.3538609855924536</v>
      </c>
      <c r="G16" s="13">
        <f t="shared" si="4"/>
        <v>8.7393561619259152</v>
      </c>
      <c r="H16" s="6">
        <f t="shared" si="3"/>
        <v>0.33691504915817522</v>
      </c>
      <c r="O16" s="107"/>
    </row>
    <row r="17" spans="1:15">
      <c r="A17">
        <v>2737</v>
      </c>
      <c r="B17">
        <v>5.0000000000000001E-3</v>
      </c>
      <c r="C17">
        <f t="shared" si="0"/>
        <v>5.7477</v>
      </c>
      <c r="E17" s="6">
        <f t="shared" si="1"/>
        <v>7.4294759973627071</v>
      </c>
      <c r="F17" s="6">
        <f t="shared" si="2"/>
        <v>2.8283705053053283</v>
      </c>
      <c r="G17" s="13">
        <f t="shared" si="4"/>
        <v>7.6418304454665602</v>
      </c>
      <c r="H17" s="6">
        <f t="shared" si="3"/>
        <v>3.5877301444433498</v>
      </c>
      <c r="O17" s="107"/>
    </row>
    <row r="18" spans="1:15">
      <c r="A18">
        <v>3335</v>
      </c>
      <c r="B18">
        <v>4.0000000000000001E-3</v>
      </c>
      <c r="C18">
        <f t="shared" si="0"/>
        <v>5.6027999999999993</v>
      </c>
      <c r="E18" s="6">
        <f t="shared" si="1"/>
        <v>6.1712521445617261</v>
      </c>
      <c r="F18" s="6">
        <f t="shared" si="2"/>
        <v>0.32313784065682633</v>
      </c>
      <c r="G18" s="13">
        <f t="shared" si="4"/>
        <v>6.6624333615514972</v>
      </c>
      <c r="H18" s="6">
        <f t="shared" si="3"/>
        <v>1.1228228609129274</v>
      </c>
      <c r="O18" s="107"/>
    </row>
    <row r="19" spans="1:15">
      <c r="E19" s="6"/>
      <c r="F19" s="6"/>
      <c r="G19" s="6"/>
      <c r="H19" s="6"/>
      <c r="O19" s="107"/>
    </row>
    <row r="20" spans="1:15">
      <c r="E20"/>
      <c r="F20"/>
      <c r="G20"/>
      <c r="H20"/>
      <c r="O20" s="107"/>
    </row>
    <row r="21" spans="1:15">
      <c r="E21"/>
      <c r="F21"/>
      <c r="G21"/>
      <c r="H21"/>
      <c r="O21" s="107"/>
    </row>
    <row r="22" spans="1:15">
      <c r="E22"/>
      <c r="F22"/>
      <c r="G22"/>
      <c r="H22"/>
      <c r="O22" s="107"/>
    </row>
    <row r="23" spans="1:15">
      <c r="E23"/>
      <c r="F23"/>
      <c r="G23"/>
      <c r="H23"/>
      <c r="K23" s="9" t="s">
        <v>15</v>
      </c>
      <c r="N23" s="86" t="s">
        <v>23</v>
      </c>
      <c r="O23" s="108">
        <f>1/(L26+2*SQRT(L25*L27))</f>
        <v>14.273114793043</v>
      </c>
    </row>
    <row r="24" spans="1:15">
      <c r="E24"/>
      <c r="F24"/>
      <c r="G24"/>
      <c r="H24"/>
      <c r="N24" s="87" t="s">
        <v>25</v>
      </c>
      <c r="O24" s="109">
        <f>1/L27</f>
        <v>0.12443938473939041</v>
      </c>
    </row>
    <row r="25" spans="1:15">
      <c r="E25"/>
      <c r="F25"/>
      <c r="G25"/>
      <c r="H25"/>
      <c r="K25" t="s">
        <v>24</v>
      </c>
      <c r="L25" s="88">
        <v>3.3048626175989138E-5</v>
      </c>
      <c r="N25" s="87" t="s">
        <v>29</v>
      </c>
      <c r="O25" s="109">
        <f>L27/(L26+2*SQRT(L25*L27))</f>
        <v>114.69933592917344</v>
      </c>
    </row>
    <row r="26" spans="1:15">
      <c r="E26"/>
      <c r="F26"/>
      <c r="G26"/>
      <c r="H26"/>
      <c r="K26" t="s">
        <v>26</v>
      </c>
      <c r="L26">
        <v>3.7468534087942054E-2</v>
      </c>
    </row>
    <row r="27" spans="1:15">
      <c r="E27"/>
      <c r="F27"/>
      <c r="G27"/>
      <c r="H27"/>
      <c r="K27" t="s">
        <v>35</v>
      </c>
      <c r="L27">
        <v>8.036041017835867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10.647423737845848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3BA0-23DC-462E-A25B-FD1FCB39A66A}">
  <sheetPr codeName="Tabelle13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3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0.80400000000000005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26</v>
      </c>
      <c r="B5">
        <v>0.36799999999999999</v>
      </c>
      <c r="C5">
        <f t="shared" si="0"/>
        <v>4.0185599999999999</v>
      </c>
      <c r="E5" s="6">
        <f t="shared" si="1"/>
        <v>5.3968298623249291</v>
      </c>
      <c r="F5" s="6">
        <f t="shared" si="2"/>
        <v>1.8996278133931792</v>
      </c>
      <c r="G5" s="13">
        <f t="shared" ref="G5:G18" si="4">(A5/(($L$25*A5^2)+($L$26*A5)+$L$27))</f>
        <v>5.5657913489502766</v>
      </c>
      <c r="H5" s="6">
        <f t="shared" si="3"/>
        <v>2.3939248471744929</v>
      </c>
      <c r="K5" s="126" t="s">
        <v>14</v>
      </c>
      <c r="L5" s="126"/>
    </row>
    <row r="6" spans="1:16">
      <c r="A6">
        <v>36</v>
      </c>
      <c r="B6">
        <v>0.40300000000000002</v>
      </c>
      <c r="C6">
        <f t="shared" si="0"/>
        <v>6.0933600000000006</v>
      </c>
      <c r="E6" s="6">
        <f t="shared" si="1"/>
        <v>6.9213218264638661</v>
      </c>
      <c r="F6" s="6">
        <f t="shared" si="2"/>
        <v>0.68552078608138012</v>
      </c>
      <c r="G6" s="13">
        <f t="shared" si="4"/>
        <v>7.0035178429700693</v>
      </c>
      <c r="H6" s="6">
        <f t="shared" si="3"/>
        <v>0.82838729911992837</v>
      </c>
    </row>
    <row r="7" spans="1:16">
      <c r="A7">
        <v>49</v>
      </c>
      <c r="B7">
        <v>0.43099999999999999</v>
      </c>
      <c r="C7">
        <f t="shared" si="0"/>
        <v>8.86998</v>
      </c>
      <c r="E7" s="6">
        <f t="shared" si="1"/>
        <v>8.5542321632429612</v>
      </c>
      <c r="F7" s="6">
        <f t="shared" si="2"/>
        <v>9.9696696416749608E-2</v>
      </c>
      <c r="G7" s="13">
        <f t="shared" si="4"/>
        <v>8.5047355216576914</v>
      </c>
      <c r="H7" s="6">
        <f t="shared" si="3"/>
        <v>0.1334035289595451</v>
      </c>
      <c r="K7" t="s">
        <v>75</v>
      </c>
      <c r="L7">
        <v>15.990642567539645</v>
      </c>
      <c r="N7" s="86" t="s">
        <v>23</v>
      </c>
      <c r="O7" s="115">
        <f>L7*(L8/(L8+L9))*((L9/(L8+L9))^(L9/L8))</f>
        <v>14.487698601793088</v>
      </c>
    </row>
    <row r="8" spans="1:16">
      <c r="A8">
        <v>100</v>
      </c>
      <c r="B8">
        <v>0.32600000000000001</v>
      </c>
      <c r="C8">
        <f t="shared" si="0"/>
        <v>13.692</v>
      </c>
      <c r="E8" s="6">
        <f t="shared" si="1"/>
        <v>12.35907951273386</v>
      </c>
      <c r="F8" s="6">
        <f t="shared" si="2"/>
        <v>1.776677025373804</v>
      </c>
      <c r="G8" s="13">
        <f t="shared" si="4"/>
        <v>12.010465931250078</v>
      </c>
      <c r="H8" s="6">
        <f t="shared" si="3"/>
        <v>2.8275568243666682</v>
      </c>
      <c r="K8" t="s">
        <v>25</v>
      </c>
      <c r="L8">
        <v>0.25585853430426536</v>
      </c>
      <c r="N8" s="87" t="s">
        <v>25</v>
      </c>
      <c r="O8" s="116">
        <f>L8</f>
        <v>0.25585853430426536</v>
      </c>
    </row>
    <row r="9" spans="1:16">
      <c r="A9">
        <v>172</v>
      </c>
      <c r="B9">
        <v>0.20399999999999999</v>
      </c>
      <c r="C9">
        <f t="shared" si="0"/>
        <v>14.73696</v>
      </c>
      <c r="E9" s="6">
        <f t="shared" si="1"/>
        <v>14.166164930733732</v>
      </c>
      <c r="F9" s="6">
        <f t="shared" si="2"/>
        <v>0.32580701109868343</v>
      </c>
      <c r="G9" s="13">
        <f t="shared" si="4"/>
        <v>13.992255368965282</v>
      </c>
      <c r="H9" s="6">
        <f t="shared" si="3"/>
        <v>0.55458498748455587</v>
      </c>
      <c r="K9" t="s">
        <v>27</v>
      </c>
      <c r="L9">
        <v>5.1343999711176147E-3</v>
      </c>
      <c r="N9" s="87" t="s">
        <v>29</v>
      </c>
      <c r="O9" s="116">
        <f>O7/O8</f>
        <v>56.623863031140516</v>
      </c>
    </row>
    <row r="10" spans="1:16">
      <c r="A10">
        <v>228</v>
      </c>
      <c r="B10">
        <v>0.154</v>
      </c>
      <c r="C10">
        <f t="shared" si="0"/>
        <v>14.74704</v>
      </c>
      <c r="E10" s="6">
        <f t="shared" si="1"/>
        <v>14.474819476344074</v>
      </c>
      <c r="F10" s="6">
        <f t="shared" si="2"/>
        <v>7.4104013499506849E-2</v>
      </c>
      <c r="G10" s="13">
        <f t="shared" si="4"/>
        <v>14.561742382465987</v>
      </c>
      <c r="H10" s="6">
        <f t="shared" si="3"/>
        <v>3.4335207063781556E-2</v>
      </c>
      <c r="O10" s="117"/>
      <c r="P10" s="21"/>
    </row>
    <row r="11" spans="1:16">
      <c r="A11">
        <v>384</v>
      </c>
      <c r="B11">
        <v>8.4000000000000005E-2</v>
      </c>
      <c r="C11">
        <f t="shared" si="0"/>
        <v>13.54752</v>
      </c>
      <c r="E11" s="6">
        <f t="shared" si="1"/>
        <v>14.105401391153242</v>
      </c>
      <c r="F11" s="6">
        <f t="shared" si="2"/>
        <v>0.31123164659507596</v>
      </c>
      <c r="G11" s="13">
        <f t="shared" si="4"/>
        <v>14.58807549032867</v>
      </c>
      <c r="H11" s="6">
        <f t="shared" si="3"/>
        <v>1.0827557284531379</v>
      </c>
      <c r="K11" s="6" t="s">
        <v>74</v>
      </c>
      <c r="L11">
        <f>SUM(F:F)</f>
        <v>6.8821487872553986</v>
      </c>
      <c r="O11" s="117"/>
    </row>
    <row r="12" spans="1:16">
      <c r="A12">
        <v>601</v>
      </c>
      <c r="B12">
        <v>4.9000000000000002E-2</v>
      </c>
      <c r="C12">
        <f t="shared" si="0"/>
        <v>12.36858</v>
      </c>
      <c r="E12" s="6">
        <f t="shared" si="1"/>
        <v>13.183464023473705</v>
      </c>
      <c r="F12" s="6">
        <f t="shared" si="2"/>
        <v>0.66403597171269513</v>
      </c>
      <c r="G12" s="13">
        <f t="shared" si="4"/>
        <v>13.560525892155518</v>
      </c>
      <c r="H12" s="6">
        <f t="shared" si="3"/>
        <v>1.4207350098264135</v>
      </c>
      <c r="O12" s="117"/>
    </row>
    <row r="13" spans="1:16">
      <c r="A13">
        <v>933</v>
      </c>
      <c r="B13">
        <v>0.03</v>
      </c>
      <c r="C13">
        <f t="shared" si="0"/>
        <v>11.755799999999999</v>
      </c>
      <c r="E13" s="6">
        <f t="shared" si="1"/>
        <v>11.851192334733636</v>
      </c>
      <c r="F13" s="6">
        <f t="shared" si="2"/>
        <v>9.0996975259341958E-3</v>
      </c>
      <c r="G13" s="13">
        <f t="shared" si="4"/>
        <v>11.814213398771285</v>
      </c>
      <c r="H13" s="6">
        <f t="shared" si="3"/>
        <v>3.4121251560132815E-3</v>
      </c>
      <c r="O13" s="117"/>
    </row>
    <row r="14" spans="1:16">
      <c r="A14">
        <v>1440</v>
      </c>
      <c r="B14">
        <v>1.7000000000000001E-2</v>
      </c>
      <c r="C14">
        <f t="shared" si="0"/>
        <v>10.281599999999999</v>
      </c>
      <c r="E14" s="6">
        <f t="shared" si="1"/>
        <v>10.070771363790609</v>
      </c>
      <c r="F14" s="6">
        <f t="shared" si="2"/>
        <v>4.4448713845911439E-2</v>
      </c>
      <c r="G14" s="13">
        <f t="shared" si="4"/>
        <v>9.6967078973395395</v>
      </c>
      <c r="H14" s="6">
        <f t="shared" si="3"/>
        <v>0.34209877175457371</v>
      </c>
      <c r="O14" s="117"/>
    </row>
    <row r="15" spans="1:16">
      <c r="A15">
        <v>1783</v>
      </c>
      <c r="B15">
        <v>1.0999999999999999E-2</v>
      </c>
      <c r="C15">
        <f t="shared" si="0"/>
        <v>8.2374599999999987</v>
      </c>
      <c r="E15" s="6">
        <f t="shared" si="1"/>
        <v>9.0205399571626597</v>
      </c>
      <c r="F15" s="6">
        <f t="shared" si="2"/>
        <v>0.61321421930987496</v>
      </c>
      <c r="G15" s="13">
        <f t="shared" si="4"/>
        <v>8.6164301767539726</v>
      </c>
      <c r="H15" s="6">
        <f t="shared" si="3"/>
        <v>0.14361839486893824</v>
      </c>
      <c r="O15" s="117"/>
    </row>
    <row r="16" spans="1:16">
      <c r="A16">
        <v>2219</v>
      </c>
      <c r="B16">
        <v>8.9999999999999993E-3</v>
      </c>
      <c r="C16">
        <f t="shared" si="0"/>
        <v>8.3878199999999996</v>
      </c>
      <c r="E16" s="6">
        <f t="shared" si="1"/>
        <v>7.8421256081114032</v>
      </c>
      <c r="F16" s="6">
        <f t="shared" si="2"/>
        <v>0.29778236933866498</v>
      </c>
      <c r="G16" s="13">
        <f t="shared" si="4"/>
        <v>7.5357624969766581</v>
      </c>
      <c r="H16" s="6">
        <f t="shared" si="3"/>
        <v>0.72600198845837161</v>
      </c>
      <c r="O16" s="117"/>
    </row>
    <row r="17" spans="1:15">
      <c r="A17">
        <v>2737</v>
      </c>
      <c r="B17">
        <v>6.0000000000000001E-3</v>
      </c>
      <c r="C17">
        <f t="shared" si="0"/>
        <v>6.89724</v>
      </c>
      <c r="E17" s="6">
        <f t="shared" si="1"/>
        <v>6.6404946054905869</v>
      </c>
      <c r="F17" s="6">
        <f t="shared" si="2"/>
        <v>6.5918197601794196E-2</v>
      </c>
      <c r="G17" s="13">
        <f t="shared" si="4"/>
        <v>6.5516561366150103</v>
      </c>
      <c r="H17" s="6">
        <f t="shared" si="3"/>
        <v>0.11942820663209522</v>
      </c>
      <c r="O17" s="117"/>
    </row>
    <row r="18" spans="1:15">
      <c r="A18">
        <v>3335</v>
      </c>
      <c r="B18">
        <v>4.0000000000000001E-3</v>
      </c>
      <c r="C18">
        <f t="shared" si="0"/>
        <v>5.6027999999999993</v>
      </c>
      <c r="E18" s="6">
        <f t="shared" si="1"/>
        <v>5.4803882952404255</v>
      </c>
      <c r="F18" s="6">
        <f t="shared" si="2"/>
        <v>1.4984625462145077E-2</v>
      </c>
      <c r="G18" s="13">
        <f t="shared" si="4"/>
        <v>5.689605864464542</v>
      </c>
      <c r="H18" s="6">
        <f t="shared" si="3"/>
        <v>7.5352581054365462E-3</v>
      </c>
      <c r="O18" s="117"/>
    </row>
    <row r="19" spans="1:15">
      <c r="E19" s="6"/>
      <c r="F19" s="6"/>
      <c r="G19" s="6"/>
      <c r="H19" s="6"/>
      <c r="O19" s="117"/>
    </row>
    <row r="20" spans="1:15">
      <c r="E20"/>
      <c r="F20"/>
      <c r="G20"/>
      <c r="H20"/>
      <c r="O20" s="117"/>
    </row>
    <row r="21" spans="1:15">
      <c r="E21"/>
      <c r="F21"/>
      <c r="G21"/>
      <c r="H21"/>
      <c r="O21" s="117"/>
    </row>
    <row r="22" spans="1:15">
      <c r="E22"/>
      <c r="F22"/>
      <c r="G22"/>
      <c r="H22"/>
      <c r="O22" s="117"/>
    </row>
    <row r="23" spans="1:15">
      <c r="E23"/>
      <c r="F23"/>
      <c r="G23"/>
      <c r="H23"/>
      <c r="K23" s="9" t="s">
        <v>15</v>
      </c>
      <c r="N23" s="86" t="s">
        <v>23</v>
      </c>
      <c r="O23" s="118">
        <f>1/(L26+2*SQRT(L25*L27))</f>
        <v>14.746571985075272</v>
      </c>
    </row>
    <row r="24" spans="1:15">
      <c r="E24"/>
      <c r="F24"/>
      <c r="G24"/>
      <c r="H24"/>
      <c r="N24" s="87" t="s">
        <v>25</v>
      </c>
      <c r="O24" s="119">
        <f>1/L27</f>
        <v>0.28662671387382488</v>
      </c>
    </row>
    <row r="25" spans="1:15">
      <c r="E25"/>
      <c r="F25"/>
      <c r="G25"/>
      <c r="H25"/>
      <c r="K25" t="s">
        <v>24</v>
      </c>
      <c r="L25" s="88">
        <v>3.9054352787071606E-5</v>
      </c>
      <c r="N25" s="87" t="s">
        <v>29</v>
      </c>
      <c r="O25" s="119">
        <f>L27/(L26+2*SQRT(L25*L27))</f>
        <v>51.448700596577396</v>
      </c>
    </row>
    <row r="26" spans="1:15">
      <c r="E26"/>
      <c r="F26"/>
      <c r="G26"/>
      <c r="H26"/>
      <c r="K26" t="s">
        <v>26</v>
      </c>
      <c r="L26">
        <v>4.4466697950650932E-2</v>
      </c>
    </row>
    <row r="27" spans="1:15">
      <c r="E27"/>
      <c r="F27"/>
      <c r="G27"/>
      <c r="H27"/>
      <c r="K27" t="s">
        <v>35</v>
      </c>
      <c r="L27">
        <v>3.4888583359337786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10.617778177423951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778D-6133-473C-BCB5-814BBF50A90D}">
  <sheetPr codeName="Tabelle15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1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0.79800000000000004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26</v>
      </c>
      <c r="B5">
        <v>0.60799999999999998</v>
      </c>
      <c r="C5">
        <f t="shared" si="0"/>
        <v>6.6393599999999999</v>
      </c>
      <c r="E5" s="6">
        <f t="shared" si="1"/>
        <v>9.6013361723667483</v>
      </c>
      <c r="F5" s="6">
        <f t="shared" si="2"/>
        <v>8.7733028456683737</v>
      </c>
      <c r="G5" s="13">
        <f t="shared" ref="G5:G18" si="4">(A5/(($L$25*A5^2)+($L$26*A5)+$L$27))</f>
        <v>8.4833260041547405</v>
      </c>
      <c r="H5" s="6">
        <f t="shared" si="3"/>
        <v>3.4002106244784005</v>
      </c>
      <c r="K5" s="126" t="s">
        <v>14</v>
      </c>
      <c r="L5" s="126"/>
    </row>
    <row r="6" spans="1:16">
      <c r="A6">
        <v>36</v>
      </c>
      <c r="B6">
        <v>0.64</v>
      </c>
      <c r="C6">
        <f t="shared" si="0"/>
        <v>9.6768000000000001</v>
      </c>
      <c r="E6" s="6">
        <f t="shared" si="1"/>
        <v>13.045793672933932</v>
      </c>
      <c r="F6" s="6">
        <f t="shared" si="2"/>
        <v>11.350118368268868</v>
      </c>
      <c r="G6" s="13">
        <f t="shared" si="4"/>
        <v>11.63362411916826</v>
      </c>
      <c r="H6" s="6">
        <f t="shared" si="3"/>
        <v>3.8291606333586379</v>
      </c>
    </row>
    <row r="7" spans="1:16">
      <c r="A7">
        <v>49</v>
      </c>
      <c r="B7">
        <v>0.67100000000000004</v>
      </c>
      <c r="C7">
        <f t="shared" si="0"/>
        <v>13.809180000000001</v>
      </c>
      <c r="E7" s="6">
        <f t="shared" si="1"/>
        <v>17.328833400870806</v>
      </c>
      <c r="F7" s="6">
        <f t="shared" si="2"/>
        <v>12.387960062261422</v>
      </c>
      <c r="G7" s="13">
        <f t="shared" si="4"/>
        <v>15.630426682897459</v>
      </c>
      <c r="H7" s="6">
        <f t="shared" si="3"/>
        <v>3.3169394799649941</v>
      </c>
      <c r="K7" t="s">
        <v>75</v>
      </c>
      <c r="L7">
        <v>124.32142297406301</v>
      </c>
      <c r="N7" s="86" t="s">
        <v>23</v>
      </c>
      <c r="O7" s="100">
        <f>L7*(L8/(L8+L9))*((L9/(L8+L9))^(L9/L8))</f>
        <v>86.385608752135667</v>
      </c>
    </row>
    <row r="8" spans="1:16">
      <c r="A8">
        <v>100</v>
      </c>
      <c r="B8">
        <v>0.67700000000000005</v>
      </c>
      <c r="C8">
        <f t="shared" si="0"/>
        <v>28.434000000000001</v>
      </c>
      <c r="E8" s="6">
        <f t="shared" si="1"/>
        <v>32.179800086982731</v>
      </c>
      <c r="F8" s="6">
        <f t="shared" si="2"/>
        <v>14.031018291639823</v>
      </c>
      <c r="G8" s="13">
        <f t="shared" si="4"/>
        <v>30.172831787200934</v>
      </c>
      <c r="H8" s="6">
        <f t="shared" si="3"/>
        <v>3.0235359841803913</v>
      </c>
      <c r="K8" t="s">
        <v>25</v>
      </c>
      <c r="L8">
        <v>0.38798782231075635</v>
      </c>
      <c r="N8" s="87" t="s">
        <v>25</v>
      </c>
      <c r="O8" s="101">
        <f>L8</f>
        <v>0.38798782231075635</v>
      </c>
    </row>
    <row r="9" spans="1:16">
      <c r="A9">
        <v>172</v>
      </c>
      <c r="B9">
        <v>0.65800000000000003</v>
      </c>
      <c r="C9">
        <f t="shared" si="0"/>
        <v>47.533920000000002</v>
      </c>
      <c r="E9" s="6">
        <f t="shared" si="1"/>
        <v>48.617808770592283</v>
      </c>
      <c r="F9" s="6">
        <f t="shared" si="2"/>
        <v>1.1748148670160474</v>
      </c>
      <c r="G9" s="13">
        <f t="shared" si="4"/>
        <v>47.466670189453545</v>
      </c>
      <c r="H9" s="6">
        <f t="shared" si="3"/>
        <v>4.522537018534353E-3</v>
      </c>
      <c r="K9" t="s">
        <v>27</v>
      </c>
      <c r="L9">
        <v>4.3590343165288634E-2</v>
      </c>
      <c r="N9" s="87" t="s">
        <v>29</v>
      </c>
      <c r="O9" s="101">
        <f>O7/O8</f>
        <v>222.65030958354583</v>
      </c>
    </row>
    <row r="10" spans="1:16">
      <c r="A10">
        <v>228</v>
      </c>
      <c r="B10">
        <v>0.628</v>
      </c>
      <c r="C10">
        <f t="shared" si="0"/>
        <v>60.137279999999997</v>
      </c>
      <c r="E10" s="6">
        <f t="shared" si="1"/>
        <v>58.431381307701386</v>
      </c>
      <c r="F10" s="6">
        <f t="shared" si="2"/>
        <v>2.9100903483861105</v>
      </c>
      <c r="G10" s="13">
        <f t="shared" si="4"/>
        <v>58.316772108564201</v>
      </c>
      <c r="H10" s="6">
        <f t="shared" si="3"/>
        <v>3.3142489827800063</v>
      </c>
      <c r="O10" s="102"/>
      <c r="P10" s="21"/>
    </row>
    <row r="11" spans="1:16">
      <c r="A11">
        <v>384</v>
      </c>
      <c r="B11">
        <v>0.496</v>
      </c>
      <c r="C11">
        <f t="shared" si="0"/>
        <v>79.994879999999995</v>
      </c>
      <c r="E11" s="6">
        <f t="shared" si="1"/>
        <v>75.88043682867324</v>
      </c>
      <c r="F11" s="6">
        <f t="shared" si="2"/>
        <v>16.928642610077365</v>
      </c>
      <c r="G11" s="13">
        <f t="shared" si="4"/>
        <v>78.105033085869778</v>
      </c>
      <c r="H11" s="6">
        <f t="shared" si="3"/>
        <v>3.5715213588475048</v>
      </c>
      <c r="K11" s="6" t="s">
        <v>74</v>
      </c>
      <c r="L11">
        <f>SUM(F:F)</f>
        <v>92.800331231731562</v>
      </c>
      <c r="O11" s="102"/>
    </row>
    <row r="12" spans="1:16">
      <c r="A12">
        <v>601</v>
      </c>
      <c r="B12">
        <v>0.34799999999999998</v>
      </c>
      <c r="C12">
        <f t="shared" si="0"/>
        <v>87.842159999999993</v>
      </c>
      <c r="E12" s="6">
        <f t="shared" si="1"/>
        <v>85.266689788489913</v>
      </c>
      <c r="F12" s="6">
        <f t="shared" si="2"/>
        <v>6.6330468103757756</v>
      </c>
      <c r="G12" s="13">
        <f t="shared" si="4"/>
        <v>87.988660527804541</v>
      </c>
      <c r="H12" s="6">
        <f t="shared" si="3"/>
        <v>2.1462404647011182E-2</v>
      </c>
      <c r="O12" s="102"/>
    </row>
    <row r="13" spans="1:16">
      <c r="A13">
        <v>933</v>
      </c>
      <c r="B13">
        <v>0.21199999999999999</v>
      </c>
      <c r="C13">
        <f t="shared" si="0"/>
        <v>83.07432</v>
      </c>
      <c r="E13" s="6">
        <f t="shared" si="1"/>
        <v>84.75976935220379</v>
      </c>
      <c r="F13" s="6">
        <f t="shared" si="2"/>
        <v>2.8407395188441749</v>
      </c>
      <c r="G13" s="13">
        <f t="shared" si="4"/>
        <v>85.47803792439521</v>
      </c>
      <c r="H13" s="6">
        <f t="shared" si="3"/>
        <v>5.7778598600588147</v>
      </c>
      <c r="O13" s="102"/>
    </row>
    <row r="14" spans="1:16">
      <c r="A14">
        <v>1440</v>
      </c>
      <c r="B14">
        <v>0.11799999999999999</v>
      </c>
      <c r="C14">
        <f t="shared" si="0"/>
        <v>71.366399999999999</v>
      </c>
      <c r="E14" s="6">
        <f t="shared" si="1"/>
        <v>74.197471507835033</v>
      </c>
      <c r="F14" s="6">
        <f t="shared" si="2"/>
        <v>8.0149658824753338</v>
      </c>
      <c r="G14" s="13">
        <f t="shared" si="4"/>
        <v>72.538518709876669</v>
      </c>
      <c r="H14" s="6">
        <f t="shared" si="3"/>
        <v>1.3738622700429506</v>
      </c>
      <c r="O14" s="102"/>
    </row>
    <row r="15" spans="1:16">
      <c r="A15">
        <v>1783</v>
      </c>
      <c r="B15">
        <v>8.5999999999999993E-2</v>
      </c>
      <c r="C15">
        <f t="shared" si="0"/>
        <v>64.401959999999988</v>
      </c>
      <c r="E15" s="6">
        <f t="shared" si="1"/>
        <v>66.278456325140155</v>
      </c>
      <c r="F15" s="6">
        <f t="shared" si="2"/>
        <v>3.5212384582645502</v>
      </c>
      <c r="G15" s="13">
        <f t="shared" si="4"/>
        <v>64.259253409442081</v>
      </c>
      <c r="H15" s="6">
        <f t="shared" si="3"/>
        <v>2.0365170988662116E-2</v>
      </c>
      <c r="O15" s="102"/>
    </row>
    <row r="16" spans="1:16">
      <c r="A16">
        <v>2219</v>
      </c>
      <c r="B16">
        <v>6.2E-2</v>
      </c>
      <c r="C16">
        <f t="shared" si="0"/>
        <v>57.782759999999996</v>
      </c>
      <c r="E16" s="6">
        <f t="shared" si="1"/>
        <v>57.045411750929652</v>
      </c>
      <c r="F16" s="6">
        <f t="shared" si="2"/>
        <v>0.54368244040710179</v>
      </c>
      <c r="G16" s="13">
        <f t="shared" si="4"/>
        <v>55.561111343730069</v>
      </c>
      <c r="H16" s="6">
        <f t="shared" si="3"/>
        <v>4.9357227519059741</v>
      </c>
      <c r="O16" s="102"/>
    </row>
    <row r="17" spans="1:15">
      <c r="A17">
        <v>2737</v>
      </c>
      <c r="B17">
        <v>4.2999999999999997E-2</v>
      </c>
      <c r="C17">
        <f t="shared" si="0"/>
        <v>49.430219999999991</v>
      </c>
      <c r="E17" s="6">
        <f t="shared" si="1"/>
        <v>47.608502296117358</v>
      </c>
      <c r="F17" s="6">
        <f t="shared" si="2"/>
        <v>3.3186553926394144</v>
      </c>
      <c r="G17" s="13">
        <f t="shared" si="4"/>
        <v>47.55281913331482</v>
      </c>
      <c r="H17" s="6">
        <f t="shared" si="3"/>
        <v>3.5246340142302324</v>
      </c>
      <c r="O17" s="102"/>
    </row>
    <row r="18" spans="1:15">
      <c r="A18">
        <v>3335</v>
      </c>
      <c r="B18">
        <v>2.8000000000000001E-2</v>
      </c>
      <c r="C18">
        <f t="shared" si="0"/>
        <v>39.2196</v>
      </c>
      <c r="E18" s="6">
        <f t="shared" si="1"/>
        <v>38.60963661142064</v>
      </c>
      <c r="F18" s="6">
        <f t="shared" si="2"/>
        <v>0.37205533540721458</v>
      </c>
      <c r="G18" s="13">
        <f t="shared" si="4"/>
        <v>40.605758974411387</v>
      </c>
      <c r="H18" s="6">
        <f t="shared" si="3"/>
        <v>1.9214367023412287</v>
      </c>
      <c r="O18" s="102"/>
    </row>
    <row r="19" spans="1:15">
      <c r="E19" s="6"/>
      <c r="F19" s="6"/>
      <c r="G19" s="6"/>
      <c r="H19" s="6"/>
      <c r="O19" s="102"/>
    </row>
    <row r="20" spans="1:15">
      <c r="E20"/>
      <c r="F20"/>
      <c r="G20"/>
      <c r="H20"/>
      <c r="O20" s="102"/>
    </row>
    <row r="21" spans="1:15">
      <c r="E21"/>
      <c r="F21"/>
      <c r="G21"/>
      <c r="H21"/>
      <c r="O21" s="102"/>
    </row>
    <row r="22" spans="1:15">
      <c r="E22"/>
      <c r="F22"/>
      <c r="G22"/>
      <c r="H22"/>
      <c r="O22" s="102"/>
    </row>
    <row r="23" spans="1:15">
      <c r="E23"/>
      <c r="F23"/>
      <c r="G23"/>
      <c r="H23"/>
      <c r="K23" s="9" t="s">
        <v>15</v>
      </c>
      <c r="N23" s="86" t="s">
        <v>23</v>
      </c>
      <c r="O23" s="103">
        <f>1/(L26+2*SQRT(L25*L27))</f>
        <v>88.596250406903934</v>
      </c>
    </row>
    <row r="24" spans="1:15">
      <c r="E24"/>
      <c r="F24"/>
      <c r="G24"/>
      <c r="H24"/>
      <c r="N24" s="87" t="s">
        <v>25</v>
      </c>
      <c r="O24" s="104">
        <f>1/L27</f>
        <v>0.33403452600519135</v>
      </c>
    </row>
    <row r="25" spans="1:15">
      <c r="E25"/>
      <c r="F25"/>
      <c r="G25"/>
      <c r="H25"/>
      <c r="K25" t="s">
        <v>24</v>
      </c>
      <c r="L25" s="88">
        <v>6.3443628477195733E-6</v>
      </c>
      <c r="N25" s="87" t="s">
        <v>29</v>
      </c>
      <c r="O25" s="104">
        <f>L27/(L26+2*SQRT(L25*L27))</f>
        <v>265.23081750395772</v>
      </c>
    </row>
    <row r="26" spans="1:15">
      <c r="E26"/>
      <c r="F26"/>
      <c r="G26"/>
      <c r="H26"/>
      <c r="K26" t="s">
        <v>26</v>
      </c>
      <c r="L26">
        <v>2.5709365871755489E-3</v>
      </c>
    </row>
    <row r="27" spans="1:15">
      <c r="E27"/>
      <c r="F27"/>
      <c r="G27"/>
      <c r="H27"/>
      <c r="K27" t="s">
        <v>35</v>
      </c>
      <c r="L27">
        <v>2.9937025132080466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38.035482774843331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80F41-761B-4317-8EEE-41CB6A4CE60B}">
  <sheetPr codeName="Tabelle16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3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0.80100000000000005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0.57899999999999996</v>
      </c>
      <c r="C5">
        <f t="shared" si="0"/>
        <v>3.4045199999999998</v>
      </c>
      <c r="E5" s="6">
        <f t="shared" si="1"/>
        <v>5.0227602888519396</v>
      </c>
      <c r="F5" s="6">
        <f t="shared" si="2"/>
        <v>2.6187016324636097</v>
      </c>
      <c r="G5" s="13">
        <f t="shared" ref="G5:G18" si="4">(A5/(($L$25*A5^2)+($L$26*A5)+$L$27))</f>
        <v>4.7581408897824629</v>
      </c>
      <c r="H5" s="6">
        <f t="shared" si="3"/>
        <v>1.8322895132554671</v>
      </c>
      <c r="K5" s="126" t="s">
        <v>14</v>
      </c>
      <c r="L5" s="126"/>
    </row>
    <row r="6" spans="1:16">
      <c r="A6">
        <v>23</v>
      </c>
      <c r="B6">
        <v>0.629</v>
      </c>
      <c r="C6">
        <f t="shared" si="0"/>
        <v>6.0761399999999997</v>
      </c>
      <c r="E6" s="6">
        <f t="shared" si="1"/>
        <v>7.9323207920126739</v>
      </c>
      <c r="F6" s="6">
        <f t="shared" si="2"/>
        <v>3.4454071326367988</v>
      </c>
      <c r="G6" s="13">
        <f t="shared" si="4"/>
        <v>7.5515470962322659</v>
      </c>
      <c r="H6" s="6">
        <f t="shared" si="3"/>
        <v>2.1768260996125277</v>
      </c>
    </row>
    <row r="7" spans="1:16">
      <c r="A7">
        <v>36</v>
      </c>
      <c r="B7">
        <v>0.65300000000000002</v>
      </c>
      <c r="C7">
        <f t="shared" si="0"/>
        <v>9.8733599999999999</v>
      </c>
      <c r="E7" s="6">
        <f t="shared" si="1"/>
        <v>11.737073772346283</v>
      </c>
      <c r="F7" s="6">
        <f t="shared" si="2"/>
        <v>3.473429025233215</v>
      </c>
      <c r="G7" s="13">
        <f t="shared" si="4"/>
        <v>11.248214311295671</v>
      </c>
      <c r="H7" s="6">
        <f t="shared" si="3"/>
        <v>1.8902243772882938</v>
      </c>
      <c r="K7" t="s">
        <v>75</v>
      </c>
      <c r="L7">
        <v>46.681370056385902</v>
      </c>
      <c r="N7" s="86" t="s">
        <v>23</v>
      </c>
      <c r="O7" s="110">
        <f>L7*(L8/(L8+L9))*((L9/(L8+L9))^(L9/L8))</f>
        <v>38.323002837143399</v>
      </c>
    </row>
    <row r="8" spans="1:16">
      <c r="A8">
        <v>86</v>
      </c>
      <c r="B8">
        <v>0.61099999999999999</v>
      </c>
      <c r="C8">
        <f t="shared" si="0"/>
        <v>22.069319999999998</v>
      </c>
      <c r="E8" s="6">
        <f t="shared" si="1"/>
        <v>22.784173570439837</v>
      </c>
      <c r="F8" s="6">
        <f t="shared" si="2"/>
        <v>0.51101562717058602</v>
      </c>
      <c r="G8" s="13">
        <f t="shared" si="4"/>
        <v>22.3066421906809</v>
      </c>
      <c r="H8" s="6">
        <f t="shared" si="3"/>
        <v>5.6321822189582822E-2</v>
      </c>
      <c r="K8" t="s">
        <v>25</v>
      </c>
      <c r="L8">
        <v>0.38182936960273384</v>
      </c>
      <c r="N8" s="87" t="s">
        <v>25</v>
      </c>
      <c r="O8" s="111">
        <f>L8</f>
        <v>0.38182936960273384</v>
      </c>
    </row>
    <row r="9" spans="1:16">
      <c r="A9">
        <v>157</v>
      </c>
      <c r="B9">
        <v>0.498</v>
      </c>
      <c r="C9">
        <f t="shared" si="0"/>
        <v>32.838119999999996</v>
      </c>
      <c r="E9" s="6">
        <f t="shared" si="1"/>
        <v>31.706530446411815</v>
      </c>
      <c r="F9" s="6">
        <f t="shared" si="2"/>
        <v>1.2804949177898999</v>
      </c>
      <c r="G9" s="13">
        <f t="shared" si="4"/>
        <v>31.732099731268594</v>
      </c>
      <c r="H9" s="6">
        <f t="shared" si="3"/>
        <v>1.2232808348446838</v>
      </c>
      <c r="K9" t="s">
        <v>27</v>
      </c>
      <c r="L9">
        <v>1.8626529433840411E-2</v>
      </c>
      <c r="N9" s="87" t="s">
        <v>29</v>
      </c>
      <c r="O9" s="111">
        <f>O7/O8</f>
        <v>100.36682845276083</v>
      </c>
    </row>
    <row r="10" spans="1:16">
      <c r="A10">
        <v>211</v>
      </c>
      <c r="B10">
        <v>0.42099999999999999</v>
      </c>
      <c r="C10">
        <f t="shared" si="0"/>
        <v>37.309019999999997</v>
      </c>
      <c r="E10" s="6">
        <f t="shared" si="1"/>
        <v>35.272948678235686</v>
      </c>
      <c r="F10" s="6">
        <f t="shared" si="2"/>
        <v>4.1455864273110681</v>
      </c>
      <c r="G10" s="13">
        <f t="shared" si="4"/>
        <v>35.725925663043547</v>
      </c>
      <c r="H10" s="6">
        <f t="shared" si="3"/>
        <v>2.5061876797035803</v>
      </c>
      <c r="O10" s="112"/>
      <c r="P10" s="21"/>
    </row>
    <row r="11" spans="1:16">
      <c r="A11">
        <v>365</v>
      </c>
      <c r="B11">
        <v>0.25800000000000001</v>
      </c>
      <c r="C11">
        <f t="shared" si="0"/>
        <v>39.551400000000001</v>
      </c>
      <c r="E11" s="6">
        <f t="shared" si="1"/>
        <v>38.316123485917878</v>
      </c>
      <c r="F11" s="6">
        <f t="shared" si="2"/>
        <v>1.5259080662428823</v>
      </c>
      <c r="G11" s="13">
        <f t="shared" si="4"/>
        <v>39.481001569105743</v>
      </c>
      <c r="H11" s="6">
        <f t="shared" si="3"/>
        <v>4.9559390723736213E-3</v>
      </c>
      <c r="K11" s="6" t="s">
        <v>74</v>
      </c>
      <c r="L11">
        <f>SUM(F:F)</f>
        <v>27.893660253188589</v>
      </c>
      <c r="O11" s="112"/>
    </row>
    <row r="12" spans="1:16">
      <c r="A12">
        <v>577</v>
      </c>
      <c r="B12">
        <v>0.15</v>
      </c>
      <c r="C12">
        <f t="shared" si="0"/>
        <v>36.350999999999999</v>
      </c>
      <c r="E12" s="6">
        <f t="shared" si="1"/>
        <v>36.750611062632778</v>
      </c>
      <c r="F12" s="6">
        <f t="shared" si="2"/>
        <v>0.15968900137849892</v>
      </c>
      <c r="G12" s="13">
        <f t="shared" si="4"/>
        <v>37.691679796845108</v>
      </c>
      <c r="H12" s="6">
        <f t="shared" si="3"/>
        <v>1.7974223176686421</v>
      </c>
      <c r="O12" s="112"/>
    </row>
    <row r="13" spans="1:16">
      <c r="A13">
        <v>902</v>
      </c>
      <c r="B13">
        <v>8.1000000000000003E-2</v>
      </c>
      <c r="C13">
        <f t="shared" si="0"/>
        <v>30.686039999999998</v>
      </c>
      <c r="E13" s="6">
        <f t="shared" si="1"/>
        <v>32.551037363770519</v>
      </c>
      <c r="F13" s="6">
        <f t="shared" si="2"/>
        <v>3.47821516687099</v>
      </c>
      <c r="G13" s="13">
        <f t="shared" si="4"/>
        <v>32.325467196838716</v>
      </c>
      <c r="H13" s="6">
        <f t="shared" si="3"/>
        <v>2.6877215337344542</v>
      </c>
      <c r="O13" s="112"/>
    </row>
    <row r="14" spans="1:16">
      <c r="A14">
        <v>1394</v>
      </c>
      <c r="B14">
        <v>4.2999999999999997E-2</v>
      </c>
      <c r="C14">
        <f t="shared" si="0"/>
        <v>25.175639999999998</v>
      </c>
      <c r="E14" s="6">
        <f t="shared" si="1"/>
        <v>26.765351430280816</v>
      </c>
      <c r="F14" s="6">
        <f t="shared" si="2"/>
        <v>2.5271824315654854</v>
      </c>
      <c r="G14" s="13">
        <f t="shared" si="4"/>
        <v>25.544594406673745</v>
      </c>
      <c r="H14" s="6">
        <f t="shared" si="3"/>
        <v>0.13612735420397712</v>
      </c>
      <c r="O14" s="112"/>
    </row>
    <row r="15" spans="1:16">
      <c r="A15">
        <v>1731</v>
      </c>
      <c r="B15">
        <v>3.1E-2</v>
      </c>
      <c r="C15">
        <f t="shared" si="0"/>
        <v>22.53762</v>
      </c>
      <c r="E15" s="6">
        <f t="shared" si="1"/>
        <v>23.398007536499733</v>
      </c>
      <c r="F15" s="6">
        <f t="shared" si="2"/>
        <v>0.7402667129640792</v>
      </c>
      <c r="G15" s="13">
        <f t="shared" si="4"/>
        <v>22.158297886713719</v>
      </c>
      <c r="H15" s="6">
        <f t="shared" si="3"/>
        <v>0.14388526562797083</v>
      </c>
      <c r="O15" s="112"/>
    </row>
    <row r="16" spans="1:16">
      <c r="A16">
        <v>2158</v>
      </c>
      <c r="B16">
        <v>2.1999999999999999E-2</v>
      </c>
      <c r="C16">
        <f t="shared" si="0"/>
        <v>19.939919999999997</v>
      </c>
      <c r="E16" s="6">
        <f t="shared" si="1"/>
        <v>19.732608006517903</v>
      </c>
      <c r="F16" s="6">
        <f t="shared" si="2"/>
        <v>4.2978262641519674E-2</v>
      </c>
      <c r="G16" s="13">
        <f t="shared" si="4"/>
        <v>18.909033337308205</v>
      </c>
      <c r="H16" s="6">
        <f t="shared" si="3"/>
        <v>1.0627273113158202</v>
      </c>
      <c r="O16" s="112"/>
    </row>
    <row r="17" spans="1:15">
      <c r="A17">
        <v>2664</v>
      </c>
      <c r="B17">
        <v>1.6E-2</v>
      </c>
      <c r="C17">
        <f t="shared" si="0"/>
        <v>17.902080000000002</v>
      </c>
      <c r="E17" s="6">
        <f t="shared" si="1"/>
        <v>16.125007586780992</v>
      </c>
      <c r="F17" s="6">
        <f t="shared" si="2"/>
        <v>3.1579863618240345</v>
      </c>
      <c r="G17" s="13">
        <f t="shared" si="4"/>
        <v>16.075430175826881</v>
      </c>
      <c r="H17" s="6">
        <f t="shared" si="3"/>
        <v>3.3366495801516924</v>
      </c>
      <c r="O17" s="112"/>
    </row>
    <row r="18" spans="1:15">
      <c r="A18">
        <v>3250</v>
      </c>
      <c r="B18">
        <v>0.01</v>
      </c>
      <c r="C18">
        <f t="shared" si="0"/>
        <v>13.65</v>
      </c>
      <c r="E18" s="6">
        <f t="shared" si="1"/>
        <v>12.762982814655812</v>
      </c>
      <c r="F18" s="6">
        <f t="shared" si="2"/>
        <v>0.78679948709592584</v>
      </c>
      <c r="G18" s="13">
        <f t="shared" si="4"/>
        <v>13.680266819129555</v>
      </c>
      <c r="H18" s="6">
        <f t="shared" si="3"/>
        <v>9.1608034022116829E-4</v>
      </c>
      <c r="O18" s="112"/>
    </row>
    <row r="19" spans="1:15">
      <c r="E19" s="6"/>
      <c r="F19" s="6"/>
      <c r="G19" s="6"/>
      <c r="H19" s="6"/>
      <c r="O19" s="112"/>
    </row>
    <row r="20" spans="1:15">
      <c r="E20"/>
      <c r="F20"/>
      <c r="G20"/>
      <c r="H20"/>
      <c r="O20" s="112"/>
    </row>
    <row r="21" spans="1:15">
      <c r="E21"/>
      <c r="F21"/>
      <c r="G21"/>
      <c r="H21"/>
      <c r="O21" s="112"/>
    </row>
    <row r="22" spans="1:15">
      <c r="E22"/>
      <c r="F22"/>
      <c r="G22"/>
      <c r="H22"/>
      <c r="O22" s="112"/>
    </row>
    <row r="23" spans="1:15">
      <c r="E23"/>
      <c r="F23"/>
      <c r="G23"/>
      <c r="H23"/>
      <c r="K23" s="9" t="s">
        <v>15</v>
      </c>
      <c r="N23" s="86" t="s">
        <v>23</v>
      </c>
      <c r="O23" s="113">
        <f>1/(L26+2*SQRT(L25*L27))</f>
        <v>39.510066785797477</v>
      </c>
    </row>
    <row r="24" spans="1:15">
      <c r="E24"/>
      <c r="F24"/>
      <c r="G24"/>
      <c r="H24"/>
      <c r="N24" s="87" t="s">
        <v>25</v>
      </c>
      <c r="O24" s="114">
        <f>1/L27</f>
        <v>0.35873702266656404</v>
      </c>
    </row>
    <row r="25" spans="1:15">
      <c r="E25"/>
      <c r="F25"/>
      <c r="G25"/>
      <c r="H25"/>
      <c r="K25" t="s">
        <v>24</v>
      </c>
      <c r="L25" s="88">
        <v>1.8907724332323474E-5</v>
      </c>
      <c r="N25" s="87" t="s">
        <v>29</v>
      </c>
      <c r="O25" s="114">
        <f>L27/(L26+2*SQRT(L25*L27))</f>
        <v>110.13657439678585</v>
      </c>
    </row>
    <row r="26" spans="1:15">
      <c r="E26"/>
      <c r="F26"/>
      <c r="G26"/>
      <c r="H26"/>
      <c r="K26" t="s">
        <v>26</v>
      </c>
      <c r="L26">
        <v>1.0790175464832612E-2</v>
      </c>
    </row>
    <row r="27" spans="1:15">
      <c r="E27"/>
      <c r="F27"/>
      <c r="G27"/>
      <c r="H27"/>
      <c r="K27" t="s">
        <v>35</v>
      </c>
      <c r="L27">
        <v>2.7875572823981201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18.855535709009288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E1152-DEAD-4ADF-8FA8-E57735A5417B}">
  <sheetPr codeName="Tabelle17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3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0.78200000000000003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0.55800000000000005</v>
      </c>
      <c r="C5">
        <f t="shared" si="0"/>
        <v>3.2810400000000004</v>
      </c>
      <c r="E5" s="6">
        <f t="shared" si="1"/>
        <v>4.8604741282057589</v>
      </c>
      <c r="F5" s="6">
        <f t="shared" si="2"/>
        <v>2.4946121653410844</v>
      </c>
      <c r="G5" s="13">
        <f t="shared" ref="G5:G18" si="4">(A5/(($L$25*A5^2)+($L$26*A5)+$L$27))</f>
        <v>4.9225328070529066</v>
      </c>
      <c r="H5" s="6">
        <f t="shared" si="3"/>
        <v>2.6944986356064295</v>
      </c>
      <c r="K5" s="126" t="s">
        <v>14</v>
      </c>
      <c r="L5" s="126"/>
    </row>
    <row r="6" spans="1:16">
      <c r="A6">
        <v>23</v>
      </c>
      <c r="B6">
        <v>0.56299999999999994</v>
      </c>
      <c r="C6">
        <f t="shared" si="0"/>
        <v>5.4385799999999991</v>
      </c>
      <c r="E6" s="6">
        <f t="shared" si="1"/>
        <v>7.7986553587812235</v>
      </c>
      <c r="F6" s="6">
        <f t="shared" si="2"/>
        <v>5.569955699126325</v>
      </c>
      <c r="G6" s="13">
        <f t="shared" si="4"/>
        <v>7.8756014806131942</v>
      </c>
      <c r="H6" s="6">
        <f t="shared" si="3"/>
        <v>5.9390736969701301</v>
      </c>
    </row>
    <row r="7" spans="1:16">
      <c r="A7">
        <v>36</v>
      </c>
      <c r="B7">
        <v>0.58199999999999996</v>
      </c>
      <c r="C7">
        <f t="shared" si="0"/>
        <v>8.7998399999999997</v>
      </c>
      <c r="E7" s="6">
        <f t="shared" si="1"/>
        <v>11.800516952710941</v>
      </c>
      <c r="F7" s="6">
        <f t="shared" si="2"/>
        <v>9.0040621745306222</v>
      </c>
      <c r="G7" s="13">
        <f t="shared" si="4"/>
        <v>11.872275209717271</v>
      </c>
      <c r="H7" s="6">
        <f t="shared" si="3"/>
        <v>9.4398581179104148</v>
      </c>
      <c r="K7" t="s">
        <v>75</v>
      </c>
      <c r="L7">
        <v>73.349434581087763</v>
      </c>
      <c r="N7" s="86" t="s">
        <v>23</v>
      </c>
      <c r="O7" s="110">
        <f>L7*(L8/(L8+L9))*((L9/(L8+L9))^(L9/L8))</f>
        <v>61.529847685497757</v>
      </c>
    </row>
    <row r="8" spans="1:16">
      <c r="A8">
        <v>86</v>
      </c>
      <c r="B8">
        <v>0.58599999999999997</v>
      </c>
      <c r="C8">
        <f t="shared" si="0"/>
        <v>21.166319999999995</v>
      </c>
      <c r="E8" s="6">
        <f t="shared" si="1"/>
        <v>24.828767622878015</v>
      </c>
      <c r="F8" s="6">
        <f t="shared" si="2"/>
        <v>13.413522590324856</v>
      </c>
      <c r="G8" s="13">
        <f t="shared" si="4"/>
        <v>24.712979850920238</v>
      </c>
      <c r="H8" s="6">
        <f t="shared" si="3"/>
        <v>12.578796098129597</v>
      </c>
      <c r="K8" t="s">
        <v>25</v>
      </c>
      <c r="L8">
        <v>0.36028745772015935</v>
      </c>
      <c r="N8" s="87" t="s">
        <v>25</v>
      </c>
      <c r="O8" s="111">
        <f>L8</f>
        <v>0.36028745772015935</v>
      </c>
    </row>
    <row r="9" spans="1:16">
      <c r="A9">
        <v>157</v>
      </c>
      <c r="B9">
        <v>0.56799999999999995</v>
      </c>
      <c r="C9">
        <f t="shared" si="0"/>
        <v>37.453919999999997</v>
      </c>
      <c r="E9" s="6">
        <f t="shared" si="1"/>
        <v>38.173704116864755</v>
      </c>
      <c r="F9" s="6">
        <f t="shared" si="2"/>
        <v>0.51808917489078032</v>
      </c>
      <c r="G9" s="13">
        <f t="shared" si="4"/>
        <v>37.71129376366433</v>
      </c>
      <c r="H9" s="6">
        <f t="shared" si="3"/>
        <v>6.624125422274392E-2</v>
      </c>
      <c r="K9" t="s">
        <v>27</v>
      </c>
      <c r="L9">
        <v>1.50983031295733E-2</v>
      </c>
      <c r="N9" s="87" t="s">
        <v>29</v>
      </c>
      <c r="O9" s="111">
        <f>O7/O8</f>
        <v>170.77987692063627</v>
      </c>
    </row>
    <row r="10" spans="1:16">
      <c r="A10">
        <v>211</v>
      </c>
      <c r="B10">
        <v>0.55500000000000005</v>
      </c>
      <c r="C10">
        <f t="shared" si="0"/>
        <v>49.184100000000001</v>
      </c>
      <c r="E10" s="6">
        <f t="shared" si="1"/>
        <v>45.319010507978824</v>
      </c>
      <c r="F10" s="6">
        <f t="shared" si="2"/>
        <v>14.938916781332519</v>
      </c>
      <c r="G10" s="13">
        <f t="shared" si="4"/>
        <v>44.701191609353245</v>
      </c>
      <c r="H10" s="6">
        <f t="shared" si="3"/>
        <v>20.096467638931088</v>
      </c>
      <c r="O10" s="112"/>
      <c r="P10" s="21"/>
    </row>
    <row r="11" spans="1:16">
      <c r="A11">
        <v>365</v>
      </c>
      <c r="B11">
        <v>0.39300000000000002</v>
      </c>
      <c r="C11">
        <f t="shared" si="0"/>
        <v>60.246899999999997</v>
      </c>
      <c r="E11" s="6">
        <f t="shared" si="1"/>
        <v>56.712825465672474</v>
      </c>
      <c r="F11" s="6">
        <f t="shared" si="2"/>
        <v>12.489682814182299</v>
      </c>
      <c r="G11" s="13">
        <f t="shared" si="4"/>
        <v>56.274308529135951</v>
      </c>
      <c r="H11" s="6">
        <f t="shared" si="3"/>
        <v>15.781482994381765</v>
      </c>
      <c r="K11" s="6" t="s">
        <v>74</v>
      </c>
      <c r="L11">
        <f>SUM(F:F)</f>
        <v>83.95817129503051</v>
      </c>
      <c r="O11" s="112"/>
    </row>
    <row r="12" spans="1:16">
      <c r="A12">
        <v>577</v>
      </c>
      <c r="B12">
        <v>0.248</v>
      </c>
      <c r="C12">
        <f t="shared" si="0"/>
        <v>60.100319999999996</v>
      </c>
      <c r="E12" s="6">
        <f t="shared" si="1"/>
        <v>61.307412121880446</v>
      </c>
      <c r="F12" s="6">
        <f t="shared" si="2"/>
        <v>1.4570713907058472</v>
      </c>
      <c r="G12" s="13">
        <f t="shared" si="4"/>
        <v>61.734363976763881</v>
      </c>
      <c r="H12" s="6">
        <f t="shared" si="3"/>
        <v>2.6700997179983292</v>
      </c>
      <c r="O12" s="112"/>
    </row>
    <row r="13" spans="1:16">
      <c r="A13">
        <v>902</v>
      </c>
      <c r="B13">
        <v>0.151</v>
      </c>
      <c r="C13">
        <f t="shared" si="0"/>
        <v>57.204839999999997</v>
      </c>
      <c r="E13" s="6">
        <f t="shared" si="1"/>
        <v>60.194873052038531</v>
      </c>
      <c r="F13" s="6">
        <f t="shared" si="2"/>
        <v>8.9402976522828705</v>
      </c>
      <c r="G13" s="13">
        <f t="shared" si="4"/>
        <v>61.370535816184031</v>
      </c>
      <c r="H13" s="6">
        <f t="shared" si="3"/>
        <v>17.353021632973164</v>
      </c>
      <c r="O13" s="112"/>
    </row>
    <row r="14" spans="1:16">
      <c r="A14">
        <v>1394</v>
      </c>
      <c r="B14">
        <v>9.1999999999999998E-2</v>
      </c>
      <c r="C14">
        <f t="shared" si="0"/>
        <v>53.864159999999991</v>
      </c>
      <c r="E14" s="6">
        <f t="shared" si="1"/>
        <v>54.99431551763103</v>
      </c>
      <c r="F14" s="6">
        <f t="shared" si="2"/>
        <v>1.2772514940318811</v>
      </c>
      <c r="G14" s="13">
        <f t="shared" si="4"/>
        <v>55.707958812425495</v>
      </c>
      <c r="H14" s="6">
        <f t="shared" si="3"/>
        <v>3.3995940607016997</v>
      </c>
      <c r="O14" s="112"/>
    </row>
    <row r="15" spans="1:16">
      <c r="A15">
        <v>1731</v>
      </c>
      <c r="B15">
        <v>7.0999999999999994E-2</v>
      </c>
      <c r="C15">
        <f t="shared" si="0"/>
        <v>51.618419999999993</v>
      </c>
      <c r="E15" s="6">
        <f t="shared" si="1"/>
        <v>51.352903398153884</v>
      </c>
      <c r="F15" s="6">
        <f t="shared" si="2"/>
        <v>7.0499065855905069E-2</v>
      </c>
      <c r="G15" s="13">
        <f t="shared" si="4"/>
        <v>51.452799742533294</v>
      </c>
      <c r="H15" s="6">
        <f t="shared" si="3"/>
        <v>2.7430069683335723E-2</v>
      </c>
      <c r="O15" s="112"/>
    </row>
    <row r="16" spans="1:16">
      <c r="A16">
        <v>2158</v>
      </c>
      <c r="B16">
        <v>5.5E-2</v>
      </c>
      <c r="C16">
        <f t="shared" si="0"/>
        <v>49.849799999999995</v>
      </c>
      <c r="E16" s="6">
        <f t="shared" si="1"/>
        <v>47.040339704672824</v>
      </c>
      <c r="F16" s="6">
        <f t="shared" si="2"/>
        <v>7.8930671510198316</v>
      </c>
      <c r="G16" s="13">
        <f t="shared" si="4"/>
        <v>46.539486113723186</v>
      </c>
      <c r="H16" s="6">
        <f t="shared" si="3"/>
        <v>10.958178025677071</v>
      </c>
      <c r="O16" s="112"/>
    </row>
    <row r="17" spans="1:15">
      <c r="A17">
        <v>2664</v>
      </c>
      <c r="B17">
        <v>3.9E-2</v>
      </c>
      <c r="C17">
        <f t="shared" si="0"/>
        <v>43.636319999999998</v>
      </c>
      <c r="E17" s="6">
        <f t="shared" si="1"/>
        <v>42.388323893138313</v>
      </c>
      <c r="F17" s="6">
        <f t="shared" si="2"/>
        <v>1.5574942827419209</v>
      </c>
      <c r="G17" s="13">
        <f t="shared" si="4"/>
        <v>41.583566770450652</v>
      </c>
      <c r="H17" s="6">
        <f t="shared" si="3"/>
        <v>4.2137958214252693</v>
      </c>
      <c r="O17" s="112"/>
    </row>
    <row r="18" spans="1:15">
      <c r="A18">
        <v>3250</v>
      </c>
      <c r="B18">
        <v>2.5999999999999999E-2</v>
      </c>
      <c r="C18">
        <f t="shared" si="0"/>
        <v>35.49</v>
      </c>
      <c r="E18" s="6">
        <f t="shared" si="1"/>
        <v>37.571741784819572</v>
      </c>
      <c r="F18" s="6">
        <f t="shared" si="2"/>
        <v>4.3336488586637705</v>
      </c>
      <c r="G18" s="13">
        <f t="shared" si="4"/>
        <v>36.890748541459381</v>
      </c>
      <c r="H18" s="6">
        <f t="shared" si="3"/>
        <v>1.962096476400577</v>
      </c>
      <c r="O18" s="112"/>
    </row>
    <row r="19" spans="1:15">
      <c r="E19" s="6"/>
      <c r="F19" s="6"/>
      <c r="G19" s="6"/>
      <c r="H19" s="6"/>
      <c r="O19" s="112"/>
    </row>
    <row r="20" spans="1:15">
      <c r="E20"/>
      <c r="F20"/>
      <c r="G20"/>
      <c r="H20"/>
      <c r="O20" s="112"/>
    </row>
    <row r="21" spans="1:15">
      <c r="E21"/>
      <c r="F21"/>
      <c r="G21"/>
      <c r="H21"/>
      <c r="O21" s="112"/>
    </row>
    <row r="22" spans="1:15">
      <c r="E22"/>
      <c r="F22"/>
      <c r="G22"/>
      <c r="H22"/>
      <c r="O22" s="112"/>
    </row>
    <row r="23" spans="1:15">
      <c r="E23"/>
      <c r="F23"/>
      <c r="G23"/>
      <c r="H23"/>
      <c r="K23" s="9" t="s">
        <v>15</v>
      </c>
      <c r="N23" s="86" t="s">
        <v>23</v>
      </c>
      <c r="O23" s="113">
        <f>1/(L26+2*SQRT(L25*L27))</f>
        <v>62.310089573062974</v>
      </c>
    </row>
    <row r="24" spans="1:15">
      <c r="E24"/>
      <c r="F24"/>
      <c r="G24"/>
      <c r="H24"/>
      <c r="N24" s="87" t="s">
        <v>25</v>
      </c>
      <c r="O24" s="114">
        <f>1/L27</f>
        <v>0.36669205784742709</v>
      </c>
    </row>
    <row r="25" spans="1:15">
      <c r="E25"/>
      <c r="F25"/>
      <c r="G25"/>
      <c r="H25"/>
      <c r="K25" t="s">
        <v>24</v>
      </c>
      <c r="L25" s="88">
        <v>5.5352959302622596E-6</v>
      </c>
      <c r="N25" s="87" t="s">
        <v>29</v>
      </c>
      <c r="O25" s="114">
        <f>L27/(L26+2*SQRT(L25*L27))</f>
        <v>169.92484085649028</v>
      </c>
    </row>
    <row r="26" spans="1:15">
      <c r="E26"/>
      <c r="F26"/>
      <c r="G26"/>
      <c r="H26"/>
      <c r="K26" t="s">
        <v>26</v>
      </c>
      <c r="L26">
        <v>8.2782527004291919E-3</v>
      </c>
    </row>
    <row r="27" spans="1:15">
      <c r="E27"/>
      <c r="F27"/>
      <c r="G27"/>
      <c r="H27"/>
      <c r="K27" t="s">
        <v>35</v>
      </c>
      <c r="L27">
        <v>2.7270838803279429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107.1806342410116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897BF-A9F1-4168-BFD9-27F484E36F36}">
  <sheetPr codeName="Tabelle18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1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0.57599999999999996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0.29799999999999999</v>
      </c>
      <c r="C5">
        <f t="shared" si="0"/>
        <v>1.7522399999999998</v>
      </c>
      <c r="E5" s="6">
        <f t="shared" si="1"/>
        <v>2.7892570253404929</v>
      </c>
      <c r="F5" s="6">
        <f t="shared" si="2"/>
        <v>1.0754043108460449</v>
      </c>
      <c r="G5" s="13">
        <f t="shared" ref="G5:G18" si="4">(A5/(($L$25*A5^2)+($L$26*A5)+$L$27))</f>
        <v>2.6529848020525804</v>
      </c>
      <c r="H5" s="6">
        <f t="shared" si="3"/>
        <v>0.8113411984247425</v>
      </c>
      <c r="K5" s="126" t="s">
        <v>14</v>
      </c>
      <c r="L5" s="126"/>
    </row>
    <row r="6" spans="1:16">
      <c r="A6">
        <v>23</v>
      </c>
      <c r="B6">
        <v>0.34499999999999997</v>
      </c>
      <c r="C6">
        <f t="shared" si="0"/>
        <v>3.3326999999999996</v>
      </c>
      <c r="E6" s="6">
        <f t="shared" si="1"/>
        <v>4.3361159681935906</v>
      </c>
      <c r="F6" s="6">
        <f t="shared" si="2"/>
        <v>1.0068436052258816</v>
      </c>
      <c r="G6" s="13">
        <f t="shared" si="4"/>
        <v>4.1448617762573496</v>
      </c>
      <c r="H6" s="6">
        <f t="shared" si="3"/>
        <v>0.65960675081349396</v>
      </c>
    </row>
    <row r="7" spans="1:16">
      <c r="A7">
        <v>36</v>
      </c>
      <c r="B7">
        <v>0.35499999999999998</v>
      </c>
      <c r="C7">
        <f t="shared" si="0"/>
        <v>5.3675999999999995</v>
      </c>
      <c r="E7" s="6">
        <f t="shared" si="1"/>
        <v>6.2768814205945311</v>
      </c>
      <c r="F7" s="6">
        <f t="shared" si="2"/>
        <v>0.82679270183840958</v>
      </c>
      <c r="G7" s="13">
        <f t="shared" si="4"/>
        <v>6.0421662116985608</v>
      </c>
      <c r="H7" s="6">
        <f t="shared" si="3"/>
        <v>0.45503957396534828</v>
      </c>
      <c r="K7" t="s">
        <v>75</v>
      </c>
      <c r="L7">
        <v>18.441614086561039</v>
      </c>
      <c r="N7" s="86" t="s">
        <v>23</v>
      </c>
      <c r="O7" s="105">
        <f>L7*(L8/(L8+L9))*((L9/(L8+L9))^(L9/L8))</f>
        <v>15.642819605887217</v>
      </c>
    </row>
    <row r="8" spans="1:16">
      <c r="A8">
        <v>86</v>
      </c>
      <c r="B8">
        <v>0.307</v>
      </c>
      <c r="C8">
        <f t="shared" si="0"/>
        <v>11.088839999999999</v>
      </c>
      <c r="E8" s="6">
        <f t="shared" si="1"/>
        <v>11.303858781174698</v>
      </c>
      <c r="F8" s="6">
        <f t="shared" si="2"/>
        <v>4.6233076257853035E-2</v>
      </c>
      <c r="G8" s="13">
        <f t="shared" si="4"/>
        <v>11.153553257538737</v>
      </c>
      <c r="H8" s="6">
        <f t="shared" si="3"/>
        <v>4.1878057012750478E-3</v>
      </c>
      <c r="K8" t="s">
        <v>25</v>
      </c>
      <c r="L8">
        <v>0.21751234462583471</v>
      </c>
      <c r="N8" s="87" t="s">
        <v>25</v>
      </c>
      <c r="O8" s="106">
        <f>L8</f>
        <v>0.21751234462583471</v>
      </c>
    </row>
    <row r="9" spans="1:16">
      <c r="A9">
        <v>157</v>
      </c>
      <c r="B9">
        <v>0.246</v>
      </c>
      <c r="C9">
        <f t="shared" si="0"/>
        <v>16.221239999999998</v>
      </c>
      <c r="E9" s="6">
        <f t="shared" si="1"/>
        <v>14.477466663209864</v>
      </c>
      <c r="F9" s="6">
        <f t="shared" si="2"/>
        <v>3.0407454501001996</v>
      </c>
      <c r="G9" s="13">
        <f t="shared" si="4"/>
        <v>14.690512031781648</v>
      </c>
      <c r="H9" s="6">
        <f t="shared" si="3"/>
        <v>2.3431281126858798</v>
      </c>
      <c r="K9" t="s">
        <v>27</v>
      </c>
      <c r="L9">
        <v>8.3720941547772935E-3</v>
      </c>
      <c r="N9" s="87" t="s">
        <v>29</v>
      </c>
      <c r="O9" s="106">
        <f>O7/O8</f>
        <v>71.916927900326925</v>
      </c>
    </row>
    <row r="10" spans="1:16">
      <c r="A10">
        <v>211</v>
      </c>
      <c r="B10">
        <v>0.187</v>
      </c>
      <c r="C10">
        <f t="shared" si="0"/>
        <v>16.571940000000001</v>
      </c>
      <c r="E10" s="6">
        <f t="shared" si="1"/>
        <v>15.365894573943667</v>
      </c>
      <c r="F10" s="6">
        <f t="shared" si="2"/>
        <v>1.4545455697114058</v>
      </c>
      <c r="G10" s="13">
        <f t="shared" si="4"/>
        <v>15.823435022484055</v>
      </c>
      <c r="H10" s="6">
        <f t="shared" si="3"/>
        <v>0.56025970136614689</v>
      </c>
      <c r="O10" s="107"/>
      <c r="P10" s="21"/>
    </row>
    <row r="11" spans="1:16">
      <c r="A11">
        <v>365</v>
      </c>
      <c r="B11">
        <v>9.8000000000000004E-2</v>
      </c>
      <c r="C11">
        <f t="shared" si="0"/>
        <v>15.023400000000001</v>
      </c>
      <c r="E11" s="6">
        <f t="shared" si="1"/>
        <v>15.414604758890444</v>
      </c>
      <c r="F11" s="6">
        <f t="shared" si="2"/>
        <v>0.15304116337853035</v>
      </c>
      <c r="G11" s="13">
        <f t="shared" si="4"/>
        <v>16.075675570530294</v>
      </c>
      <c r="H11" s="6">
        <f t="shared" si="3"/>
        <v>1.1072838763348538</v>
      </c>
      <c r="K11" s="6" t="s">
        <v>74</v>
      </c>
      <c r="L11">
        <f>SUM(F:F)</f>
        <v>11.102942257571073</v>
      </c>
      <c r="O11" s="107"/>
    </row>
    <row r="12" spans="1:16">
      <c r="A12">
        <v>577</v>
      </c>
      <c r="B12">
        <v>5.5E-2</v>
      </c>
      <c r="C12">
        <f t="shared" si="0"/>
        <v>13.3287</v>
      </c>
      <c r="E12" s="6">
        <f t="shared" si="1"/>
        <v>14.176078788819032</v>
      </c>
      <c r="F12" s="6">
        <f t="shared" si="2"/>
        <v>0.71805081174041008</v>
      </c>
      <c r="G12" s="13">
        <f t="shared" si="4"/>
        <v>14.419987606144966</v>
      </c>
      <c r="H12" s="6">
        <f t="shared" si="3"/>
        <v>1.1909086393256116</v>
      </c>
      <c r="O12" s="107"/>
    </row>
    <row r="13" spans="1:16">
      <c r="A13">
        <v>902</v>
      </c>
      <c r="B13">
        <v>0.03</v>
      </c>
      <c r="C13">
        <f t="shared" si="0"/>
        <v>11.3652</v>
      </c>
      <c r="E13" s="6">
        <f t="shared" si="1"/>
        <v>12.244750019960517</v>
      </c>
      <c r="F13" s="6">
        <f t="shared" si="2"/>
        <v>0.7736082376125456</v>
      </c>
      <c r="G13" s="13">
        <f t="shared" si="4"/>
        <v>11.796081454011251</v>
      </c>
      <c r="H13" s="6">
        <f t="shared" si="3"/>
        <v>0.18565882741084991</v>
      </c>
      <c r="O13" s="107"/>
    </row>
    <row r="14" spans="1:16">
      <c r="A14">
        <v>1394</v>
      </c>
      <c r="B14">
        <v>1.6E-2</v>
      </c>
      <c r="C14">
        <f t="shared" si="0"/>
        <v>9.36768</v>
      </c>
      <c r="E14" s="6">
        <f t="shared" si="1"/>
        <v>9.793939803109545</v>
      </c>
      <c r="F14" s="6">
        <f t="shared" si="2"/>
        <v>0.18169741974698811</v>
      </c>
      <c r="G14" s="13">
        <f t="shared" si="4"/>
        <v>9.0231894859431669</v>
      </c>
      <c r="H14" s="6">
        <f t="shared" si="3"/>
        <v>0.1186737142751411</v>
      </c>
      <c r="O14" s="107"/>
    </row>
    <row r="15" spans="1:16">
      <c r="A15">
        <v>1731</v>
      </c>
      <c r="B15">
        <v>1.0999999999999999E-2</v>
      </c>
      <c r="C15">
        <f t="shared" si="0"/>
        <v>7.9972199999999996</v>
      </c>
      <c r="E15" s="6">
        <f t="shared" si="1"/>
        <v>8.4045494687916271</v>
      </c>
      <c r="F15" s="6">
        <f t="shared" si="2"/>
        <v>0.16591729614606951</v>
      </c>
      <c r="G15" s="13">
        <f t="shared" si="4"/>
        <v>7.7342351636806512</v>
      </c>
      <c r="H15" s="6">
        <f t="shared" si="3"/>
        <v>6.9161024133914437E-2</v>
      </c>
      <c r="O15" s="107"/>
    </row>
    <row r="16" spans="1:16">
      <c r="A16">
        <v>2158</v>
      </c>
      <c r="B16">
        <v>8.0000000000000002E-3</v>
      </c>
      <c r="C16">
        <f t="shared" si="0"/>
        <v>7.2508799999999995</v>
      </c>
      <c r="E16" s="6">
        <f t="shared" si="1"/>
        <v>6.9235205772594908</v>
      </c>
      <c r="F16" s="6">
        <f t="shared" si="2"/>
        <v>0.10716419165699914</v>
      </c>
      <c r="G16" s="13">
        <f t="shared" si="4"/>
        <v>6.5358288144179983</v>
      </c>
      <c r="H16" s="6">
        <f t="shared" si="3"/>
        <v>0.51129819800222553</v>
      </c>
      <c r="O16" s="107"/>
    </row>
    <row r="17" spans="1:15">
      <c r="A17">
        <v>2664</v>
      </c>
      <c r="B17">
        <v>5.0000000000000001E-3</v>
      </c>
      <c r="C17">
        <f t="shared" si="0"/>
        <v>5.5944000000000003</v>
      </c>
      <c r="E17" s="6">
        <f t="shared" si="1"/>
        <v>5.5025484093623103</v>
      </c>
      <c r="F17" s="6">
        <f t="shared" si="2"/>
        <v>8.4367147026737799E-3</v>
      </c>
      <c r="G17" s="13">
        <f t="shared" si="4"/>
        <v>5.5148798496442764</v>
      </c>
      <c r="H17" s="6">
        <f t="shared" si="3"/>
        <v>6.3234543125969371E-3</v>
      </c>
      <c r="O17" s="107"/>
    </row>
    <row r="18" spans="1:15">
      <c r="A18">
        <v>3250</v>
      </c>
      <c r="B18">
        <v>4.0000000000000001E-3</v>
      </c>
      <c r="C18">
        <f t="shared" si="0"/>
        <v>5.46</v>
      </c>
      <c r="E18" s="6">
        <f t="shared" si="1"/>
        <v>4.2172362619519905</v>
      </c>
      <c r="F18" s="6">
        <f t="shared" si="2"/>
        <v>1.5444617086070613</v>
      </c>
      <c r="G18" s="13">
        <f t="shared" si="4"/>
        <v>4.6664089200334287</v>
      </c>
      <c r="H18" s="6">
        <f t="shared" si="3"/>
        <v>0.62978680220250893</v>
      </c>
      <c r="O18" s="107"/>
    </row>
    <row r="19" spans="1:15">
      <c r="E19" s="6"/>
      <c r="F19" s="6"/>
      <c r="G19" s="6"/>
      <c r="H19" s="6"/>
      <c r="O19" s="107"/>
    </row>
    <row r="20" spans="1:15">
      <c r="E20"/>
      <c r="F20"/>
      <c r="G20"/>
      <c r="H20"/>
      <c r="O20" s="107"/>
    </row>
    <row r="21" spans="1:15">
      <c r="E21"/>
      <c r="F21"/>
      <c r="G21"/>
      <c r="H21"/>
      <c r="O21" s="107"/>
    </row>
    <row r="22" spans="1:15">
      <c r="E22"/>
      <c r="F22"/>
      <c r="G22"/>
      <c r="H22"/>
      <c r="O22" s="107"/>
    </row>
    <row r="23" spans="1:15">
      <c r="E23"/>
      <c r="F23"/>
      <c r="G23"/>
      <c r="H23"/>
      <c r="K23" s="9" t="s">
        <v>15</v>
      </c>
      <c r="N23" s="86" t="s">
        <v>23</v>
      </c>
      <c r="O23" s="108">
        <f>1/(L26+2*SQRT(L25*L27))</f>
        <v>16.288077335422283</v>
      </c>
    </row>
    <row r="24" spans="1:15">
      <c r="E24"/>
      <c r="F24"/>
      <c r="G24"/>
      <c r="H24"/>
      <c r="N24" s="87" t="s">
        <v>25</v>
      </c>
      <c r="O24" s="109">
        <f>1/L27</f>
        <v>0.20524112915043077</v>
      </c>
    </row>
    <row r="25" spans="1:15">
      <c r="E25"/>
      <c r="F25"/>
      <c r="G25"/>
      <c r="H25"/>
      <c r="K25" t="s">
        <v>24</v>
      </c>
      <c r="L25" s="88">
        <v>5.6825444534508181E-5</v>
      </c>
      <c r="N25" s="87" t="s">
        <v>29</v>
      </c>
      <c r="O25" s="109">
        <f>L27/(L26+2*SQRT(L25*L27))</f>
        <v>79.360688585395536</v>
      </c>
    </row>
    <row r="26" spans="1:15">
      <c r="E26"/>
      <c r="F26"/>
      <c r="G26"/>
      <c r="H26"/>
      <c r="K26" t="s">
        <v>26</v>
      </c>
      <c r="L26">
        <v>2.8115680809446594E-2</v>
      </c>
    </row>
    <row r="27" spans="1:15">
      <c r="E27"/>
      <c r="F27"/>
      <c r="G27"/>
      <c r="H27"/>
      <c r="K27" t="s">
        <v>35</v>
      </c>
      <c r="L27">
        <v>4.8723177666161321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8.6526576789545881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77D95-FA1F-4575-A4E0-947C412F054D}">
  <sheetPr codeName="Tabelle19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1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0.52200000000000002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8</v>
      </c>
      <c r="B5">
        <v>0.29399999999999998</v>
      </c>
      <c r="C5">
        <f t="shared" si="0"/>
        <v>0.98783999999999994</v>
      </c>
      <c r="E5" s="6">
        <f t="shared" si="1"/>
        <v>1.0053068139183252</v>
      </c>
      <c r="F5" s="6">
        <f t="shared" si="2"/>
        <v>3.0508958845740155E-4</v>
      </c>
      <c r="G5" s="13">
        <f t="shared" ref="G5:G18" si="4">(A5/(($L$25*A5^2)+($L$26*A5)+$L$27))</f>
        <v>1.1122622478010318</v>
      </c>
      <c r="H5" s="6">
        <f t="shared" si="3"/>
        <v>1.5480895747861372E-2</v>
      </c>
      <c r="K5" s="126" t="s">
        <v>14</v>
      </c>
      <c r="L5" s="126"/>
    </row>
    <row r="6" spans="1:16">
      <c r="A6">
        <v>17</v>
      </c>
      <c r="B6">
        <v>0.31</v>
      </c>
      <c r="C6">
        <f t="shared" si="0"/>
        <v>2.2133999999999996</v>
      </c>
      <c r="E6" s="6">
        <f t="shared" si="1"/>
        <v>2.0217595381328528</v>
      </c>
      <c r="F6" s="6">
        <f t="shared" si="2"/>
        <v>3.6726066624653338E-2</v>
      </c>
      <c r="G6" s="13">
        <f t="shared" si="4"/>
        <v>2.1883468862886883</v>
      </c>
      <c r="H6" s="6">
        <f t="shared" si="3"/>
        <v>6.2765850663189162E-4</v>
      </c>
    </row>
    <row r="7" spans="1:16">
      <c r="A7">
        <v>30</v>
      </c>
      <c r="B7">
        <v>0.29599999999999999</v>
      </c>
      <c r="C7">
        <f t="shared" si="0"/>
        <v>3.7295999999999996</v>
      </c>
      <c r="E7" s="6">
        <f t="shared" si="1"/>
        <v>3.3002770646925321</v>
      </c>
      <c r="F7" s="6">
        <f t="shared" si="2"/>
        <v>0.18431818278101988</v>
      </c>
      <c r="G7" s="13">
        <f t="shared" si="4"/>
        <v>3.4807515359516401</v>
      </c>
      <c r="H7" s="6">
        <f t="shared" si="3"/>
        <v>6.1925558059227656E-2</v>
      </c>
      <c r="K7" t="s">
        <v>75</v>
      </c>
      <c r="L7">
        <v>11.251777554302983</v>
      </c>
      <c r="N7" s="86" t="s">
        <v>23</v>
      </c>
      <c r="O7" s="105">
        <f>L7*(L8/(L8+L9))*((L9/(L8+L9))^(L9/L8))</f>
        <v>9.6969490738375725</v>
      </c>
    </row>
    <row r="8" spans="1:16">
      <c r="A8">
        <v>80</v>
      </c>
      <c r="B8">
        <v>0.2</v>
      </c>
      <c r="C8">
        <f t="shared" si="0"/>
        <v>6.72</v>
      </c>
      <c r="E8" s="6">
        <f t="shared" si="1"/>
        <v>6.6384958150870608</v>
      </c>
      <c r="F8" s="6">
        <f t="shared" si="2"/>
        <v>6.6429321583225502E-3</v>
      </c>
      <c r="G8" s="13">
        <f t="shared" si="4"/>
        <v>6.6146376650947989</v>
      </c>
      <c r="H8" s="6">
        <f t="shared" si="3"/>
        <v>1.1101221616675708E-2</v>
      </c>
      <c r="K8" t="s">
        <v>25</v>
      </c>
      <c r="L8">
        <v>0.1320738739416801</v>
      </c>
      <c r="N8" s="87" t="s">
        <v>25</v>
      </c>
      <c r="O8" s="106">
        <f>L8</f>
        <v>0.1320738739416801</v>
      </c>
    </row>
    <row r="9" spans="1:16">
      <c r="A9">
        <v>151</v>
      </c>
      <c r="B9">
        <v>0.13100000000000001</v>
      </c>
      <c r="C9">
        <f t="shared" si="0"/>
        <v>8.3080200000000008</v>
      </c>
      <c r="E9" s="6">
        <f t="shared" si="1"/>
        <v>8.7974392679233748</v>
      </c>
      <c r="F9" s="6">
        <f t="shared" si="2"/>
        <v>0.23953121981465134</v>
      </c>
      <c r="G9" s="13">
        <f t="shared" si="4"/>
        <v>8.5853328875754968</v>
      </c>
      <c r="H9" s="6">
        <f t="shared" si="3"/>
        <v>7.6902437615459673E-2</v>
      </c>
      <c r="K9" t="s">
        <v>27</v>
      </c>
      <c r="L9">
        <v>4.4586678332872182E-3</v>
      </c>
      <c r="N9" s="87" t="s">
        <v>29</v>
      </c>
      <c r="O9" s="106">
        <f>O7/O8</f>
        <v>73.420645464821121</v>
      </c>
    </row>
    <row r="10" spans="1:16">
      <c r="A10">
        <v>205</v>
      </c>
      <c r="B10">
        <v>0.11</v>
      </c>
      <c r="C10">
        <f t="shared" si="0"/>
        <v>9.4710000000000001</v>
      </c>
      <c r="E10" s="6">
        <f t="shared" si="1"/>
        <v>9.4387019849288709</v>
      </c>
      <c r="F10" s="6">
        <f t="shared" si="2"/>
        <v>1.0431617775348871E-3</v>
      </c>
      <c r="G10" s="13">
        <f t="shared" si="4"/>
        <v>9.2320482102164796</v>
      </c>
      <c r="H10" s="6">
        <f t="shared" si="3"/>
        <v>5.7097957840747768E-2</v>
      </c>
      <c r="O10" s="107"/>
      <c r="P10" s="21"/>
    </row>
    <row r="11" spans="1:16">
      <c r="A11">
        <v>359</v>
      </c>
      <c r="B11">
        <v>0.06</v>
      </c>
      <c r="C11">
        <f t="shared" si="0"/>
        <v>9.0467999999999993</v>
      </c>
      <c r="E11" s="6">
        <f t="shared" si="1"/>
        <v>9.6154329495754141</v>
      </c>
      <c r="F11" s="6">
        <f t="shared" si="2"/>
        <v>0.32334343134283622</v>
      </c>
      <c r="G11" s="13">
        <f t="shared" si="4"/>
        <v>9.5848823133602803</v>
      </c>
      <c r="H11" s="6">
        <f t="shared" si="3"/>
        <v>0.28953257595115162</v>
      </c>
      <c r="K11" s="6" t="s">
        <v>74</v>
      </c>
      <c r="L11">
        <f>SUM(F:F)</f>
        <v>14.07685287004298</v>
      </c>
      <c r="O11" s="107"/>
    </row>
    <row r="12" spans="1:16">
      <c r="A12">
        <v>571</v>
      </c>
      <c r="B12">
        <v>3.6999999999999998E-2</v>
      </c>
      <c r="C12">
        <f t="shared" si="0"/>
        <v>8.8733399999999989</v>
      </c>
      <c r="E12" s="6">
        <f t="shared" si="1"/>
        <v>8.962337034729563</v>
      </c>
      <c r="F12" s="6">
        <f t="shared" si="2"/>
        <v>7.9204721906552394E-3</v>
      </c>
      <c r="G12" s="13">
        <f t="shared" si="4"/>
        <v>8.9933270128763265</v>
      </c>
      <c r="H12" s="6">
        <f t="shared" si="3"/>
        <v>1.4396883258984012E-2</v>
      </c>
      <c r="O12" s="107"/>
    </row>
    <row r="13" spans="1:16">
      <c r="A13">
        <v>896</v>
      </c>
      <c r="B13">
        <v>2.1000000000000001E-2</v>
      </c>
      <c r="C13">
        <f t="shared" si="0"/>
        <v>7.9027200000000004</v>
      </c>
      <c r="E13" s="6">
        <f t="shared" si="1"/>
        <v>7.888823678319584</v>
      </c>
      <c r="F13" s="6">
        <f t="shared" si="2"/>
        <v>1.9310775624561185E-4</v>
      </c>
      <c r="G13" s="13">
        <f t="shared" si="4"/>
        <v>7.8082017044142686</v>
      </c>
      <c r="H13" s="6">
        <f t="shared" si="3"/>
        <v>8.9337082004317617E-3</v>
      </c>
      <c r="O13" s="107"/>
    </row>
    <row r="14" spans="1:16">
      <c r="A14">
        <v>1388</v>
      </c>
      <c r="B14">
        <v>1.2E-2</v>
      </c>
      <c r="C14">
        <f t="shared" si="0"/>
        <v>6.9955199999999991</v>
      </c>
      <c r="E14" s="6">
        <f t="shared" si="1"/>
        <v>6.4916219365819678</v>
      </c>
      <c r="F14" s="6">
        <f t="shared" si="2"/>
        <v>0.25391325831644224</v>
      </c>
      <c r="G14" s="13">
        <f t="shared" si="4"/>
        <v>6.3529945413950832</v>
      </c>
      <c r="H14" s="6">
        <f t="shared" si="3"/>
        <v>0.41283896495545741</v>
      </c>
      <c r="O14" s="107"/>
    </row>
    <row r="15" spans="1:16">
      <c r="A15">
        <v>1725</v>
      </c>
      <c r="B15">
        <v>8.9999999999999993E-3</v>
      </c>
      <c r="C15">
        <f t="shared" si="0"/>
        <v>6.5204999999999993</v>
      </c>
      <c r="E15" s="6">
        <f t="shared" si="1"/>
        <v>5.6801163869180105</v>
      </c>
      <c r="F15" s="6">
        <f t="shared" si="2"/>
        <v>0.70624461713673792</v>
      </c>
      <c r="G15" s="13">
        <f t="shared" si="4"/>
        <v>5.6062943271411037</v>
      </c>
      <c r="H15" s="6">
        <f t="shared" si="3"/>
        <v>0.83577201228738618</v>
      </c>
      <c r="O15" s="107"/>
    </row>
    <row r="16" spans="1:16">
      <c r="A16">
        <v>2152</v>
      </c>
      <c r="B16">
        <v>7.0000000000000001E-3</v>
      </c>
      <c r="C16">
        <f t="shared" si="0"/>
        <v>6.3268800000000001</v>
      </c>
      <c r="E16" s="6">
        <f t="shared" si="1"/>
        <v>4.7959280993116202</v>
      </c>
      <c r="F16" s="6">
        <f t="shared" si="2"/>
        <v>2.3438137222213626</v>
      </c>
      <c r="G16" s="13">
        <f t="shared" si="4"/>
        <v>4.8695386878502251</v>
      </c>
      <c r="H16" s="6">
        <f t="shared" si="3"/>
        <v>2.1238437000984276</v>
      </c>
      <c r="O16" s="107"/>
    </row>
    <row r="17" spans="1:15">
      <c r="A17">
        <v>2658</v>
      </c>
      <c r="B17">
        <v>4.0000000000000001E-3</v>
      </c>
      <c r="C17">
        <f t="shared" si="0"/>
        <v>4.4654400000000001</v>
      </c>
      <c r="E17" s="6">
        <f t="shared" si="1"/>
        <v>3.9245745706065018</v>
      </c>
      <c r="F17" s="6">
        <f t="shared" si="2"/>
        <v>0.29253541271301325</v>
      </c>
      <c r="G17" s="13">
        <f t="shared" si="4"/>
        <v>4.207716136076062</v>
      </c>
      <c r="H17" s="6">
        <f t="shared" si="3"/>
        <v>6.6421590035884562E-2</v>
      </c>
      <c r="O17" s="107"/>
    </row>
    <row r="18" spans="1:15">
      <c r="A18">
        <v>3244</v>
      </c>
      <c r="B18">
        <v>0</v>
      </c>
      <c r="C18">
        <f t="shared" si="0"/>
        <v>0</v>
      </c>
      <c r="E18" s="6">
        <f t="shared" si="1"/>
        <v>3.1113216155873453</v>
      </c>
      <c r="F18" s="6">
        <f t="shared" si="2"/>
        <v>9.6803221956210486</v>
      </c>
      <c r="G18" s="13">
        <f t="shared" si="4"/>
        <v>3.6324479508743801</v>
      </c>
      <c r="H18" s="6">
        <f t="shared" si="3"/>
        <v>13.194678115811483</v>
      </c>
      <c r="O18" s="107"/>
    </row>
    <row r="19" spans="1:15">
      <c r="E19" s="6"/>
      <c r="F19" s="6"/>
      <c r="G19" s="6"/>
      <c r="H19" s="6"/>
      <c r="O19" s="107"/>
    </row>
    <row r="20" spans="1:15">
      <c r="E20"/>
      <c r="F20"/>
      <c r="G20"/>
      <c r="H20"/>
      <c r="O20" s="107"/>
    </row>
    <row r="21" spans="1:15">
      <c r="E21"/>
      <c r="F21"/>
      <c r="G21"/>
      <c r="H21"/>
      <c r="O21" s="107"/>
    </row>
    <row r="22" spans="1:15">
      <c r="E22"/>
      <c r="F22"/>
      <c r="G22"/>
      <c r="H22"/>
      <c r="O22" s="107"/>
    </row>
    <row r="23" spans="1:15">
      <c r="E23"/>
      <c r="F23"/>
      <c r="G23"/>
      <c r="H23"/>
      <c r="K23" s="9" t="s">
        <v>15</v>
      </c>
      <c r="N23" s="86" t="s">
        <v>23</v>
      </c>
      <c r="O23" s="108">
        <f>1/(L26+2*SQRT(L25*L27))</f>
        <v>9.6092259365284427</v>
      </c>
    </row>
    <row r="24" spans="1:15">
      <c r="E24"/>
      <c r="F24"/>
      <c r="G24"/>
      <c r="H24"/>
      <c r="N24" s="87" t="s">
        <v>25</v>
      </c>
      <c r="O24" s="109">
        <f>1/L27</f>
        <v>0.14948795689385885</v>
      </c>
    </row>
    <row r="25" spans="1:15">
      <c r="E25"/>
      <c r="F25"/>
      <c r="G25"/>
      <c r="H25"/>
      <c r="K25" t="s">
        <v>24</v>
      </c>
      <c r="L25" s="88">
        <v>6.5004185572055731E-5</v>
      </c>
      <c r="N25" s="87" t="s">
        <v>29</v>
      </c>
      <c r="O25" s="109">
        <f>L27/(L26+2*SQRT(L25*L27))</f>
        <v>64.28093698110608</v>
      </c>
    </row>
    <row r="26" spans="1:15">
      <c r="E26"/>
      <c r="F26"/>
      <c r="G26"/>
      <c r="H26"/>
      <c r="K26" t="s">
        <v>26</v>
      </c>
      <c r="L26">
        <v>6.2360749615764599E-2</v>
      </c>
    </row>
    <row r="27" spans="1:15">
      <c r="E27"/>
      <c r="F27"/>
      <c r="G27"/>
      <c r="H27"/>
      <c r="K27" t="s">
        <v>35</v>
      </c>
      <c r="L27">
        <v>6.6895020895230477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17.169553279985809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2F6D0-97DC-468F-8239-BCC37261D1C1}">
  <sheetPr codeName="Tabelle20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0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0.79500000000000004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0.65100000000000002</v>
      </c>
      <c r="C5">
        <f t="shared" si="0"/>
        <v>3.8278800000000004</v>
      </c>
      <c r="E5" s="6">
        <f t="shared" si="1"/>
        <v>5.1646386917790856</v>
      </c>
      <c r="F5" s="6">
        <f t="shared" si="2"/>
        <v>1.7869238000469314</v>
      </c>
      <c r="G5" s="13">
        <f t="shared" ref="G5:G18" si="4">(A5/(($L$25*A5^2)+($L$26*A5)+$L$27))</f>
        <v>5.2745060398109516</v>
      </c>
      <c r="H5" s="6">
        <f t="shared" si="3"/>
        <v>2.0927268990591155</v>
      </c>
      <c r="K5" s="126" t="s">
        <v>14</v>
      </c>
      <c r="L5" s="126"/>
    </row>
    <row r="6" spans="1:16">
      <c r="A6">
        <v>23</v>
      </c>
      <c r="B6">
        <v>0.60599999999999998</v>
      </c>
      <c r="C6">
        <f t="shared" si="0"/>
        <v>5.8539599999999989</v>
      </c>
      <c r="E6" s="6">
        <f t="shared" si="1"/>
        <v>8.2139161635890279</v>
      </c>
      <c r="F6" s="6">
        <f t="shared" si="2"/>
        <v>5.5693930940618479</v>
      </c>
      <c r="G6" s="13">
        <f t="shared" si="4"/>
        <v>8.3426323471364601</v>
      </c>
      <c r="H6" s="6">
        <f t="shared" si="3"/>
        <v>6.1934900514017022</v>
      </c>
    </row>
    <row r="7" spans="1:16">
      <c r="A7">
        <v>36</v>
      </c>
      <c r="B7">
        <v>0.622</v>
      </c>
      <c r="C7">
        <f t="shared" si="0"/>
        <v>9.4046399999999988</v>
      </c>
      <c r="E7" s="6">
        <f t="shared" si="1"/>
        <v>12.274933509559114</v>
      </c>
      <c r="F7" s="6">
        <f t="shared" si="2"/>
        <v>8.2385848310171816</v>
      </c>
      <c r="G7" s="13">
        <f t="shared" si="4"/>
        <v>12.381577307887337</v>
      </c>
      <c r="H7" s="6">
        <f t="shared" si="3"/>
        <v>8.8621557350915126</v>
      </c>
      <c r="K7" t="s">
        <v>75</v>
      </c>
      <c r="L7">
        <v>56.307718464543434</v>
      </c>
      <c r="N7" s="86" t="s">
        <v>23</v>
      </c>
      <c r="O7" s="95">
        <f>L7*(L8/(L8+L9))*((L9/(L8+L9))^(L9/L8))</f>
        <v>48.583140703919781</v>
      </c>
    </row>
    <row r="8" spans="1:16">
      <c r="A8">
        <v>86</v>
      </c>
      <c r="B8">
        <v>0.60199999999999998</v>
      </c>
      <c r="C8">
        <f t="shared" si="0"/>
        <v>21.744239999999998</v>
      </c>
      <c r="E8" s="6">
        <f t="shared" si="1"/>
        <v>24.693290696226544</v>
      </c>
      <c r="F8" s="6">
        <f t="shared" si="2"/>
        <v>8.6969000089142785</v>
      </c>
      <c r="G8" s="13">
        <f t="shared" si="4"/>
        <v>24.481933063739255</v>
      </c>
      <c r="H8" s="6">
        <f t="shared" si="3"/>
        <v>7.4949633112460425</v>
      </c>
      <c r="K8" t="s">
        <v>25</v>
      </c>
      <c r="L8">
        <v>0.38824491576036518</v>
      </c>
      <c r="N8" s="87" t="s">
        <v>25</v>
      </c>
      <c r="O8" s="96">
        <f>L8</f>
        <v>0.38824491576036518</v>
      </c>
    </row>
    <row r="9" spans="1:16">
      <c r="A9">
        <v>157</v>
      </c>
      <c r="B9">
        <v>0.54900000000000004</v>
      </c>
      <c r="C9">
        <f t="shared" si="0"/>
        <v>36.201060000000005</v>
      </c>
      <c r="E9" s="6">
        <f t="shared" si="1"/>
        <v>35.91107674407214</v>
      </c>
      <c r="F9" s="6">
        <f t="shared" si="2"/>
        <v>8.4090288718525655E-2</v>
      </c>
      <c r="G9" s="13">
        <f t="shared" si="4"/>
        <v>35.33666549074124</v>
      </c>
      <c r="H9" s="6">
        <f t="shared" si="3"/>
        <v>0.74717786763670235</v>
      </c>
      <c r="K9" t="s">
        <v>27</v>
      </c>
      <c r="L9">
        <v>1.2975312891470461E-2</v>
      </c>
      <c r="N9" s="87" t="s">
        <v>29</v>
      </c>
      <c r="O9" s="96">
        <f>O7/O8</f>
        <v>125.13529149189569</v>
      </c>
    </row>
    <row r="10" spans="1:16">
      <c r="A10">
        <v>211</v>
      </c>
      <c r="B10">
        <v>0.51600000000000001</v>
      </c>
      <c r="C10">
        <f t="shared" si="0"/>
        <v>45.727919999999997</v>
      </c>
      <c r="E10" s="6">
        <f t="shared" si="1"/>
        <v>41.115102974348396</v>
      </c>
      <c r="F10" s="6">
        <f t="shared" si="2"/>
        <v>21.278080912141288</v>
      </c>
      <c r="G10" s="13">
        <f t="shared" si="4"/>
        <v>40.530060266094289</v>
      </c>
      <c r="H10" s="6">
        <f t="shared" si="3"/>
        <v>27.017745813358328</v>
      </c>
      <c r="O10" s="97"/>
      <c r="P10" s="21"/>
    </row>
    <row r="11" spans="1:16">
      <c r="A11">
        <v>365</v>
      </c>
      <c r="B11">
        <v>0.32500000000000001</v>
      </c>
      <c r="C11">
        <f t="shared" si="0"/>
        <v>49.822499999999998</v>
      </c>
      <c r="E11" s="6">
        <f t="shared" si="1"/>
        <v>47.586619185330491</v>
      </c>
      <c r="F11" s="6">
        <f t="shared" si="2"/>
        <v>4.9991630174071773</v>
      </c>
      <c r="G11" s="13">
        <f t="shared" si="4"/>
        <v>47.738667716304761</v>
      </c>
      <c r="H11" s="6">
        <f t="shared" si="3"/>
        <v>4.3423569865705076</v>
      </c>
      <c r="K11" s="6" t="s">
        <v>74</v>
      </c>
      <c r="L11">
        <f>SUM(F:F)</f>
        <v>63.465141122975275</v>
      </c>
      <c r="O11" s="97"/>
    </row>
    <row r="12" spans="1:16">
      <c r="A12">
        <v>577</v>
      </c>
      <c r="B12">
        <v>0.19600000000000001</v>
      </c>
      <c r="C12">
        <f t="shared" si="0"/>
        <v>47.498639999999995</v>
      </c>
      <c r="E12" s="6">
        <f t="shared" si="1"/>
        <v>48.374759294219054</v>
      </c>
      <c r="F12" s="6">
        <f t="shared" si="2"/>
        <v>0.76758501770290199</v>
      </c>
      <c r="G12" s="13">
        <f t="shared" si="4"/>
        <v>49.556551838065481</v>
      </c>
      <c r="H12" s="6">
        <f t="shared" si="3"/>
        <v>4.2350011332500674</v>
      </c>
      <c r="O12" s="97"/>
    </row>
    <row r="13" spans="1:16">
      <c r="A13">
        <v>902</v>
      </c>
      <c r="B13">
        <v>0.115</v>
      </c>
      <c r="C13">
        <f t="shared" si="0"/>
        <v>43.566600000000001</v>
      </c>
      <c r="E13" s="6">
        <f t="shared" si="1"/>
        <v>45.649196687268123</v>
      </c>
      <c r="F13" s="6">
        <f t="shared" si="2"/>
        <v>4.3372089618201564</v>
      </c>
      <c r="G13" s="13">
        <f t="shared" si="4"/>
        <v>46.958830566235179</v>
      </c>
      <c r="H13" s="6">
        <f t="shared" si="3"/>
        <v>11.507228214500232</v>
      </c>
      <c r="O13" s="97"/>
    </row>
    <row r="14" spans="1:16">
      <c r="A14">
        <v>1394</v>
      </c>
      <c r="B14">
        <v>6.6000000000000003E-2</v>
      </c>
      <c r="C14">
        <f t="shared" si="0"/>
        <v>38.641680000000001</v>
      </c>
      <c r="E14" s="6">
        <f t="shared" si="1"/>
        <v>40.834903941420137</v>
      </c>
      <c r="F14" s="6">
        <f t="shared" si="2"/>
        <v>4.8102312572184767</v>
      </c>
      <c r="G14" s="13">
        <f t="shared" si="4"/>
        <v>41.036227367954446</v>
      </c>
      <c r="H14" s="6">
        <f t="shared" si="3"/>
        <v>5.7338570973775598</v>
      </c>
      <c r="O14" s="97"/>
    </row>
    <row r="15" spans="1:16">
      <c r="A15">
        <v>1731</v>
      </c>
      <c r="B15">
        <v>5.0999999999999997E-2</v>
      </c>
      <c r="C15">
        <f t="shared" si="0"/>
        <v>37.078019999999995</v>
      </c>
      <c r="E15" s="6">
        <f t="shared" si="1"/>
        <v>37.786078280071571</v>
      </c>
      <c r="F15" s="6">
        <f t="shared" si="2"/>
        <v>0.50134652797791834</v>
      </c>
      <c r="G15" s="13">
        <f t="shared" si="4"/>
        <v>37.321164556901401</v>
      </c>
      <c r="H15" s="6">
        <f t="shared" si="3"/>
        <v>5.9119275550781017E-2</v>
      </c>
      <c r="O15" s="97"/>
    </row>
    <row r="16" spans="1:16">
      <c r="A16">
        <v>2158</v>
      </c>
      <c r="B16">
        <v>3.9E-2</v>
      </c>
      <c r="C16">
        <f t="shared" si="0"/>
        <v>35.348040000000005</v>
      </c>
      <c r="E16" s="6">
        <f t="shared" si="1"/>
        <v>34.245352697004122</v>
      </c>
      <c r="F16" s="6">
        <f t="shared" si="2"/>
        <v>1.2159192881883323</v>
      </c>
      <c r="G16" s="13">
        <f t="shared" si="4"/>
        <v>33.306182432510802</v>
      </c>
      <c r="H16" s="6">
        <f t="shared" si="3"/>
        <v>4.1691823259129235</v>
      </c>
      <c r="O16" s="97"/>
    </row>
    <row r="17" spans="1:15">
      <c r="A17">
        <v>2664</v>
      </c>
      <c r="B17">
        <v>2.8000000000000001E-2</v>
      </c>
      <c r="C17">
        <f t="shared" si="0"/>
        <v>31.32864</v>
      </c>
      <c r="E17" s="6">
        <f t="shared" si="1"/>
        <v>30.476341645668565</v>
      </c>
      <c r="F17" s="6">
        <f t="shared" si="2"/>
        <v>0.72641248479607168</v>
      </c>
      <c r="G17" s="13">
        <f t="shared" si="4"/>
        <v>29.437285182144766</v>
      </c>
      <c r="H17" s="6">
        <f t="shared" si="3"/>
        <v>3.577223047024205</v>
      </c>
      <c r="O17" s="97"/>
    </row>
    <row r="18" spans="1:15">
      <c r="A18">
        <v>3250</v>
      </c>
      <c r="B18">
        <v>0.02</v>
      </c>
      <c r="C18">
        <f t="shared" si="0"/>
        <v>27.3</v>
      </c>
      <c r="E18" s="6">
        <f t="shared" si="1"/>
        <v>26.626723212219382</v>
      </c>
      <c r="F18" s="6">
        <f t="shared" si="2"/>
        <v>0.45330163296418863</v>
      </c>
      <c r="G18" s="13">
        <f t="shared" si="4"/>
        <v>25.889293652812459</v>
      </c>
      <c r="H18" s="6">
        <f t="shared" si="3"/>
        <v>1.9900923979952179</v>
      </c>
      <c r="O18" s="97"/>
    </row>
    <row r="19" spans="1:15">
      <c r="E19" s="6"/>
      <c r="F19" s="6"/>
      <c r="G19" s="6"/>
      <c r="H19" s="6"/>
      <c r="O19" s="97"/>
    </row>
    <row r="20" spans="1:15">
      <c r="E20"/>
      <c r="F20"/>
      <c r="G20"/>
      <c r="H20"/>
      <c r="O20" s="97"/>
    </row>
    <row r="21" spans="1:15">
      <c r="E21"/>
      <c r="F21"/>
      <c r="G21"/>
      <c r="H21"/>
      <c r="O21" s="97"/>
    </row>
    <row r="22" spans="1:15">
      <c r="E22"/>
      <c r="F22"/>
      <c r="G22"/>
      <c r="H22"/>
      <c r="O22" s="97"/>
    </row>
    <row r="23" spans="1:15">
      <c r="E23"/>
      <c r="F23"/>
      <c r="G23"/>
      <c r="H23"/>
      <c r="K23" s="9" t="s">
        <v>15</v>
      </c>
      <c r="N23" s="86" t="s">
        <v>23</v>
      </c>
      <c r="O23" s="98">
        <f>1/(L26+2*SQRT(L25*L27))</f>
        <v>49.58071054372018</v>
      </c>
    </row>
    <row r="24" spans="1:15">
      <c r="E24"/>
      <c r="F24"/>
      <c r="G24"/>
      <c r="H24"/>
      <c r="N24" s="87" t="s">
        <v>25</v>
      </c>
      <c r="O24" s="99">
        <f>1/L27</f>
        <v>0.40043960483290497</v>
      </c>
    </row>
    <row r="25" spans="1:15">
      <c r="E25"/>
      <c r="F25"/>
      <c r="G25"/>
      <c r="H25"/>
      <c r="K25" t="s">
        <v>24</v>
      </c>
      <c r="L25" s="88">
        <v>8.232941201403758E-6</v>
      </c>
      <c r="N25" s="87" t="s">
        <v>29</v>
      </c>
      <c r="O25" s="99">
        <f>L27/(L26+2*SQRT(L25*L27))</f>
        <v>123.81570140747984</v>
      </c>
    </row>
    <row r="26" spans="1:15">
      <c r="E26"/>
      <c r="F26"/>
      <c r="G26"/>
      <c r="H26"/>
      <c r="K26" t="s">
        <v>26</v>
      </c>
      <c r="L26">
        <v>1.1100560329712206E-2</v>
      </c>
    </row>
    <row r="27" spans="1:15">
      <c r="E27"/>
      <c r="F27"/>
      <c r="G27"/>
      <c r="H27"/>
      <c r="K27" t="s">
        <v>35</v>
      </c>
      <c r="L27">
        <v>2.4972554860483367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88.02232015597491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4D8AC-BABE-4613-BC02-0424332C0E5F}">
  <sheetPr codeName="Tabelle21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1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0.80200000000000005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0.67800000000000005</v>
      </c>
      <c r="C5">
        <f t="shared" si="0"/>
        <v>3.9866400000000004</v>
      </c>
      <c r="E5" s="6">
        <f t="shared" si="1"/>
        <v>5.2949516666094176</v>
      </c>
      <c r="F5" s="6">
        <f t="shared" si="2"/>
        <v>1.711679416986311</v>
      </c>
      <c r="G5" s="13">
        <f t="shared" ref="G5:G18" si="4">(A5/(($L$25*A5^2)+($L$26*A5)+$L$27))</f>
        <v>5.3519597601079996</v>
      </c>
      <c r="H5" s="6">
        <f t="shared" si="3"/>
        <v>1.8640980473413644</v>
      </c>
      <c r="K5" s="126" t="s">
        <v>14</v>
      </c>
      <c r="L5" s="126"/>
    </row>
    <row r="6" spans="1:16">
      <c r="A6">
        <v>23</v>
      </c>
      <c r="B6">
        <v>0.68300000000000005</v>
      </c>
      <c r="C6">
        <f t="shared" si="0"/>
        <v>6.5977800000000002</v>
      </c>
      <c r="E6" s="6">
        <f t="shared" si="1"/>
        <v>8.4046870297864587</v>
      </c>
      <c r="F6" s="6">
        <f t="shared" si="2"/>
        <v>3.2649130142917215</v>
      </c>
      <c r="G6" s="13">
        <f t="shared" si="4"/>
        <v>8.4610260213507882</v>
      </c>
      <c r="H6" s="6">
        <f t="shared" si="3"/>
        <v>3.4716857360795412</v>
      </c>
    </row>
    <row r="7" spans="1:16">
      <c r="A7">
        <v>36</v>
      </c>
      <c r="B7">
        <v>0.68400000000000005</v>
      </c>
      <c r="C7">
        <f t="shared" si="0"/>
        <v>10.342080000000001</v>
      </c>
      <c r="E7" s="6">
        <f t="shared" si="1"/>
        <v>12.525244076333996</v>
      </c>
      <c r="F7" s="6">
        <f t="shared" si="2"/>
        <v>4.7662053841952643</v>
      </c>
      <c r="G7" s="13">
        <f t="shared" si="4"/>
        <v>12.546446258738396</v>
      </c>
      <c r="H7" s="6">
        <f t="shared" si="3"/>
        <v>4.8592306026643062</v>
      </c>
      <c r="K7" t="s">
        <v>75</v>
      </c>
      <c r="L7">
        <v>55.199376113611685</v>
      </c>
      <c r="N7" s="86" t="s">
        <v>23</v>
      </c>
      <c r="O7" s="100">
        <f>L7*(L8/(L8+L9))*((L9/(L8+L9))^(L9/L8))</f>
        <v>46.655409371219982</v>
      </c>
    </row>
    <row r="8" spans="1:16">
      <c r="A8">
        <v>86</v>
      </c>
      <c r="B8">
        <v>0.64100000000000001</v>
      </c>
      <c r="C8">
        <f t="shared" si="0"/>
        <v>23.152920000000002</v>
      </c>
      <c r="E8" s="6">
        <f t="shared" si="1"/>
        <v>24.944998334287341</v>
      </c>
      <c r="F8" s="6">
        <f t="shared" si="2"/>
        <v>3.2115447562220845</v>
      </c>
      <c r="G8" s="13">
        <f t="shared" si="4"/>
        <v>24.693479366945368</v>
      </c>
      <c r="H8" s="6">
        <f t="shared" si="3"/>
        <v>2.3733231630831084</v>
      </c>
      <c r="K8" t="s">
        <v>25</v>
      </c>
      <c r="L8">
        <v>0.39928141328118077</v>
      </c>
      <c r="N8" s="87" t="s">
        <v>25</v>
      </c>
      <c r="O8" s="101">
        <f>L8</f>
        <v>0.39928141328118077</v>
      </c>
    </row>
    <row r="9" spans="1:16">
      <c r="A9">
        <v>157</v>
      </c>
      <c r="B9">
        <v>0.55300000000000005</v>
      </c>
      <c r="C9">
        <f t="shared" si="0"/>
        <v>36.464820000000003</v>
      </c>
      <c r="E9" s="6">
        <f t="shared" si="1"/>
        <v>35.821860483735179</v>
      </c>
      <c r="F9" s="6">
        <f t="shared" si="2"/>
        <v>0.41339693955549656</v>
      </c>
      <c r="G9" s="13">
        <f t="shared" si="4"/>
        <v>35.339259012374846</v>
      </c>
      <c r="H9" s="6">
        <f t="shared" si="3"/>
        <v>1.2668875368637185</v>
      </c>
      <c r="K9" t="s">
        <v>27</v>
      </c>
      <c r="L9">
        <v>1.5802181215016246E-2</v>
      </c>
      <c r="N9" s="87" t="s">
        <v>29</v>
      </c>
      <c r="O9" s="101">
        <f>O7/O8</f>
        <v>116.84843776678493</v>
      </c>
    </row>
    <row r="10" spans="1:16">
      <c r="A10">
        <v>211</v>
      </c>
      <c r="B10">
        <v>0.5</v>
      </c>
      <c r="C10">
        <f t="shared" si="0"/>
        <v>44.309999999999995</v>
      </c>
      <c r="E10" s="6">
        <f t="shared" si="1"/>
        <v>40.669592705684828</v>
      </c>
      <c r="F10" s="6">
        <f t="shared" si="2"/>
        <v>13.252565268503078</v>
      </c>
      <c r="G10" s="13">
        <f t="shared" si="4"/>
        <v>40.246721471074203</v>
      </c>
      <c r="H10" s="6">
        <f t="shared" si="3"/>
        <v>16.510232403629352</v>
      </c>
      <c r="O10" s="102"/>
      <c r="P10" s="21"/>
    </row>
    <row r="11" spans="1:16">
      <c r="A11">
        <v>365</v>
      </c>
      <c r="B11">
        <v>0.30599999999999999</v>
      </c>
      <c r="C11">
        <f t="shared" si="0"/>
        <v>46.909799999999997</v>
      </c>
      <c r="E11" s="6">
        <f t="shared" si="1"/>
        <v>46.175147963944589</v>
      </c>
      <c r="F11" s="6">
        <f t="shared" si="2"/>
        <v>0.53971361408035656</v>
      </c>
      <c r="G11" s="13">
        <f t="shared" si="4"/>
        <v>46.461720917840438</v>
      </c>
      <c r="H11" s="6">
        <f t="shared" si="3"/>
        <v>0.20077486386895288</v>
      </c>
      <c r="K11" s="6" t="s">
        <v>74</v>
      </c>
      <c r="L11">
        <f>SUM(F:F)</f>
        <v>37.8506390231978</v>
      </c>
      <c r="O11" s="102"/>
    </row>
    <row r="12" spans="1:16">
      <c r="A12">
        <v>577</v>
      </c>
      <c r="B12">
        <v>0.184</v>
      </c>
      <c r="C12">
        <f t="shared" si="0"/>
        <v>44.590559999999996</v>
      </c>
      <c r="E12" s="6">
        <f t="shared" si="1"/>
        <v>46.074340239937193</v>
      </c>
      <c r="F12" s="6">
        <f t="shared" si="2"/>
        <v>2.2016038004280847</v>
      </c>
      <c r="G12" s="13">
        <f t="shared" si="4"/>
        <v>47.075054646458305</v>
      </c>
      <c r="H12" s="6">
        <f t="shared" si="3"/>
        <v>6.1727136482799976</v>
      </c>
      <c r="O12" s="102"/>
    </row>
    <row r="13" spans="1:16">
      <c r="A13">
        <v>902</v>
      </c>
      <c r="B13">
        <v>0.107</v>
      </c>
      <c r="C13">
        <f t="shared" si="0"/>
        <v>40.535879999999999</v>
      </c>
      <c r="E13" s="6">
        <f t="shared" si="1"/>
        <v>42.574858131806607</v>
      </c>
      <c r="F13" s="6">
        <f t="shared" si="2"/>
        <v>4.1574318219855675</v>
      </c>
      <c r="G13" s="13">
        <f t="shared" si="4"/>
        <v>43.341396930025141</v>
      </c>
      <c r="H13" s="6">
        <f t="shared" si="3"/>
        <v>7.8709252446576983</v>
      </c>
      <c r="O13" s="102"/>
    </row>
    <row r="14" spans="1:16">
      <c r="A14">
        <v>1394</v>
      </c>
      <c r="B14">
        <v>6.3E-2</v>
      </c>
      <c r="C14">
        <f t="shared" si="0"/>
        <v>36.885240000000003</v>
      </c>
      <c r="E14" s="6">
        <f t="shared" si="1"/>
        <v>37.034245670603312</v>
      </c>
      <c r="F14" s="6">
        <f t="shared" si="2"/>
        <v>2.2202689871941739E-2</v>
      </c>
      <c r="G14" s="13">
        <f t="shared" si="4"/>
        <v>36.756972176751368</v>
      </c>
      <c r="H14" s="6">
        <f t="shared" si="3"/>
        <v>1.6452634480942998E-2</v>
      </c>
      <c r="O14" s="102"/>
    </row>
    <row r="15" spans="1:16">
      <c r="A15">
        <v>1731</v>
      </c>
      <c r="B15">
        <v>4.7E-2</v>
      </c>
      <c r="C15">
        <f t="shared" si="0"/>
        <v>34.169939999999997</v>
      </c>
      <c r="E15" s="6">
        <f t="shared" si="1"/>
        <v>33.629599272685596</v>
      </c>
      <c r="F15" s="6">
        <f t="shared" si="2"/>
        <v>0.29196810159465608</v>
      </c>
      <c r="G15" s="13">
        <f t="shared" si="4"/>
        <v>32.946266362463128</v>
      </c>
      <c r="H15" s="6">
        <f t="shared" si="3"/>
        <v>1.4973771712027133</v>
      </c>
      <c r="O15" s="102"/>
    </row>
    <row r="16" spans="1:16">
      <c r="A16">
        <v>2158</v>
      </c>
      <c r="B16">
        <v>3.4000000000000002E-2</v>
      </c>
      <c r="C16">
        <f t="shared" si="0"/>
        <v>30.816240000000001</v>
      </c>
      <c r="E16" s="6">
        <f t="shared" si="1"/>
        <v>29.760167064710565</v>
      </c>
      <c r="F16" s="6">
        <f t="shared" si="2"/>
        <v>1.1152900446508445</v>
      </c>
      <c r="G16" s="13">
        <f t="shared" si="4"/>
        <v>28.990836990042389</v>
      </c>
      <c r="H16" s="6">
        <f t="shared" si="3"/>
        <v>3.3320961487623073</v>
      </c>
      <c r="O16" s="102"/>
    </row>
    <row r="17" spans="1:15">
      <c r="A17">
        <v>2664</v>
      </c>
      <c r="B17">
        <v>2.4E-2</v>
      </c>
      <c r="C17">
        <f t="shared" si="0"/>
        <v>26.853120000000001</v>
      </c>
      <c r="E17" s="6">
        <f t="shared" si="1"/>
        <v>25.746946065015965</v>
      </c>
      <c r="F17" s="6">
        <f t="shared" si="2"/>
        <v>1.2236207744380645</v>
      </c>
      <c r="G17" s="13">
        <f t="shared" si="4"/>
        <v>25.305099416590703</v>
      </c>
      <c r="H17" s="6">
        <f t="shared" si="3"/>
        <v>2.3963677266588603</v>
      </c>
      <c r="O17" s="102"/>
    </row>
    <row r="18" spans="1:15">
      <c r="A18">
        <v>3250</v>
      </c>
      <c r="B18">
        <v>1.4999999999999999E-2</v>
      </c>
      <c r="C18">
        <f t="shared" si="0"/>
        <v>20.474999999999998</v>
      </c>
      <c r="E18" s="6">
        <f t="shared" si="1"/>
        <v>21.77057068367354</v>
      </c>
      <c r="F18" s="6">
        <f t="shared" si="2"/>
        <v>1.6785033963943299</v>
      </c>
      <c r="G18" s="13">
        <f t="shared" si="4"/>
        <v>22.016557873914078</v>
      </c>
      <c r="H18" s="6">
        <f t="shared" si="3"/>
        <v>2.376400678626498</v>
      </c>
      <c r="O18" s="102"/>
    </row>
    <row r="19" spans="1:15">
      <c r="E19" s="6"/>
      <c r="F19" s="6"/>
      <c r="G19" s="6"/>
      <c r="H19" s="6"/>
      <c r="O19" s="102"/>
    </row>
    <row r="20" spans="1:15">
      <c r="E20"/>
      <c r="F20"/>
      <c r="G20"/>
      <c r="H20"/>
      <c r="O20" s="102"/>
    </row>
    <row r="21" spans="1:15">
      <c r="E21"/>
      <c r="F21"/>
      <c r="G21"/>
      <c r="H21"/>
      <c r="O21" s="102"/>
    </row>
    <row r="22" spans="1:15">
      <c r="E22"/>
      <c r="F22"/>
      <c r="G22"/>
      <c r="H22"/>
      <c r="O22" s="102"/>
    </row>
    <row r="23" spans="1:15">
      <c r="E23"/>
      <c r="F23"/>
      <c r="G23"/>
      <c r="H23"/>
      <c r="K23" s="9" t="s">
        <v>15</v>
      </c>
      <c r="N23" s="86" t="s">
        <v>23</v>
      </c>
      <c r="O23" s="103">
        <f>1/(L26+2*SQRT(L25*L27))</f>
        <v>47.396988793060665</v>
      </c>
    </row>
    <row r="24" spans="1:15">
      <c r="E24"/>
      <c r="F24"/>
      <c r="G24"/>
      <c r="H24"/>
      <c r="N24" s="87" t="s">
        <v>25</v>
      </c>
      <c r="O24" s="104">
        <f>1/L27</f>
        <v>0.40654003973781572</v>
      </c>
    </row>
    <row r="25" spans="1:15">
      <c r="E25"/>
      <c r="F25"/>
      <c r="G25"/>
      <c r="H25"/>
      <c r="K25" t="s">
        <v>24</v>
      </c>
      <c r="L25" s="88">
        <v>1.0356859600186806E-5</v>
      </c>
      <c r="N25" s="87" t="s">
        <v>29</v>
      </c>
      <c r="O25" s="104">
        <f>L27/(L26+2*SQRT(L25*L27))</f>
        <v>116.58627480734187</v>
      </c>
    </row>
    <row r="26" spans="1:15">
      <c r="E26"/>
      <c r="F26"/>
      <c r="G26"/>
      <c r="H26"/>
      <c r="K26" t="s">
        <v>26</v>
      </c>
      <c r="L26">
        <v>1.100371090228079E-2</v>
      </c>
    </row>
    <row r="27" spans="1:15">
      <c r="E27"/>
      <c r="F27"/>
      <c r="G27"/>
      <c r="H27"/>
      <c r="K27" t="s">
        <v>35</v>
      </c>
      <c r="L27">
        <v>2.459782314787287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54.208565606199365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5734-E4EB-4562-8642-88F86F4B49FD}">
  <sheetPr codeName="Tabelle22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1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0.79500000000000004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0.64</v>
      </c>
      <c r="C5">
        <f t="shared" si="0"/>
        <v>3.7632000000000003</v>
      </c>
      <c r="E5" s="6">
        <f t="shared" si="1"/>
        <v>4.2259223028452064</v>
      </c>
      <c r="F5" s="6">
        <f t="shared" si="2"/>
        <v>0.21411192955037064</v>
      </c>
      <c r="G5" s="13">
        <f t="shared" ref="G5:G18" si="4">(A5/(($L$25*A5^2)+($L$26*A5)+$L$27))</f>
        <v>4.4731749343706051</v>
      </c>
      <c r="H5" s="6">
        <f t="shared" si="3"/>
        <v>0.5040644074345445</v>
      </c>
      <c r="K5" s="126" t="s">
        <v>14</v>
      </c>
      <c r="L5" s="126"/>
    </row>
    <row r="6" spans="1:16">
      <c r="A6">
        <v>23</v>
      </c>
      <c r="B6">
        <v>0.60699999999999998</v>
      </c>
      <c r="C6">
        <f t="shared" si="0"/>
        <v>5.8636200000000001</v>
      </c>
      <c r="E6" s="6">
        <f t="shared" si="1"/>
        <v>6.6843756243831027</v>
      </c>
      <c r="F6" s="6">
        <f t="shared" si="2"/>
        <v>0.67363979495649673</v>
      </c>
      <c r="G6" s="13">
        <f t="shared" si="4"/>
        <v>6.9981997823226259</v>
      </c>
      <c r="H6" s="6">
        <f t="shared" si="3"/>
        <v>1.287271282455257</v>
      </c>
    </row>
    <row r="7" spans="1:16">
      <c r="A7">
        <v>36</v>
      </c>
      <c r="B7">
        <v>0.59899999999999998</v>
      </c>
      <c r="C7">
        <f t="shared" si="0"/>
        <v>9.0568799999999996</v>
      </c>
      <c r="E7" s="6">
        <f t="shared" si="1"/>
        <v>9.9129178941345231</v>
      </c>
      <c r="F7" s="6">
        <f t="shared" si="2"/>
        <v>0.73280087619426959</v>
      </c>
      <c r="G7" s="13">
        <f t="shared" si="4"/>
        <v>10.237641709869013</v>
      </c>
      <c r="H7" s="6">
        <f t="shared" si="3"/>
        <v>1.394198215492797</v>
      </c>
      <c r="K7" t="s">
        <v>75</v>
      </c>
      <c r="L7">
        <v>39.369631297124577</v>
      </c>
      <c r="N7" s="86" t="s">
        <v>23</v>
      </c>
      <c r="O7" s="120">
        <f>L7*(L8/(L8+L9))*((L9/(L8+L9))^(L9/L8))</f>
        <v>34.387566464764951</v>
      </c>
    </row>
    <row r="8" spans="1:16">
      <c r="A8">
        <v>86</v>
      </c>
      <c r="B8">
        <v>0.51200000000000001</v>
      </c>
      <c r="C8">
        <f t="shared" si="0"/>
        <v>18.49344</v>
      </c>
      <c r="E8" s="6">
        <f t="shared" si="1"/>
        <v>19.409406976199481</v>
      </c>
      <c r="F8" s="6">
        <f t="shared" si="2"/>
        <v>0.83899550148802116</v>
      </c>
      <c r="G8" s="13">
        <f t="shared" si="4"/>
        <v>19.37807614737644</v>
      </c>
      <c r="H8" s="6">
        <f t="shared" si="3"/>
        <v>0.7825811132450311</v>
      </c>
      <c r="K8" t="s">
        <v>25</v>
      </c>
      <c r="L8">
        <v>0.32046786687190282</v>
      </c>
      <c r="N8" s="87" t="s">
        <v>25</v>
      </c>
      <c r="O8" s="121">
        <f>L8</f>
        <v>0.32046786687190282</v>
      </c>
    </row>
    <row r="9" spans="1:16">
      <c r="A9">
        <v>157</v>
      </c>
      <c r="B9">
        <v>0.41499999999999998</v>
      </c>
      <c r="C9">
        <f t="shared" si="0"/>
        <v>27.365099999999998</v>
      </c>
      <c r="E9" s="6">
        <f t="shared" si="1"/>
        <v>27.336340343398053</v>
      </c>
      <c r="F9" s="6">
        <f t="shared" si="2"/>
        <v>8.2711784786181238E-4</v>
      </c>
      <c r="G9" s="13">
        <f t="shared" si="4"/>
        <v>26.843437104921275</v>
      </c>
      <c r="H9" s="6">
        <f t="shared" si="3"/>
        <v>0.27213217610191498</v>
      </c>
      <c r="K9" t="s">
        <v>27</v>
      </c>
      <c r="L9">
        <v>9.5829989100748632E-3</v>
      </c>
      <c r="N9" s="87" t="s">
        <v>29</v>
      </c>
      <c r="O9" s="121">
        <f>O7/O8</f>
        <v>107.30425736727709</v>
      </c>
    </row>
    <row r="10" spans="1:16">
      <c r="A10">
        <v>211</v>
      </c>
      <c r="B10">
        <v>0.37</v>
      </c>
      <c r="C10">
        <f t="shared" si="0"/>
        <v>32.789399999999993</v>
      </c>
      <c r="E10" s="6">
        <f t="shared" si="1"/>
        <v>30.685302809767038</v>
      </c>
      <c r="F10" s="6">
        <f t="shared" si="2"/>
        <v>4.4272249859462196</v>
      </c>
      <c r="G10" s="13">
        <f t="shared" si="4"/>
        <v>30.134716242660591</v>
      </c>
      <c r="H10" s="6">
        <f t="shared" si="3"/>
        <v>7.0473458514816461</v>
      </c>
      <c r="O10" s="122"/>
      <c r="P10" s="21"/>
    </row>
    <row r="11" spans="1:16">
      <c r="A11">
        <v>365</v>
      </c>
      <c r="B11">
        <v>0.22600000000000001</v>
      </c>
      <c r="C11">
        <f t="shared" si="0"/>
        <v>34.645800000000001</v>
      </c>
      <c r="E11" s="6">
        <f t="shared" si="1"/>
        <v>34.17664751326511</v>
      </c>
      <c r="F11" s="6">
        <f t="shared" si="2"/>
        <v>0.22010405580953277</v>
      </c>
      <c r="G11" s="13">
        <f t="shared" si="4"/>
        <v>34.204205203706167</v>
      </c>
      <c r="H11" s="6">
        <f t="shared" si="3"/>
        <v>0.19500596411379337</v>
      </c>
      <c r="K11" s="6" t="s">
        <v>74</v>
      </c>
      <c r="L11">
        <f>SUM(F:F)</f>
        <v>10.019837147251383</v>
      </c>
      <c r="O11" s="122"/>
    </row>
    <row r="12" spans="1:16">
      <c r="A12">
        <v>577</v>
      </c>
      <c r="B12">
        <v>0.13800000000000001</v>
      </c>
      <c r="C12">
        <f t="shared" si="0"/>
        <v>33.442920000000001</v>
      </c>
      <c r="E12" s="6">
        <f t="shared" si="1"/>
        <v>33.898813273899897</v>
      </c>
      <c r="F12" s="6">
        <f t="shared" si="2"/>
        <v>0.20783867718716578</v>
      </c>
      <c r="G12" s="13">
        <f t="shared" si="4"/>
        <v>34.665984197370605</v>
      </c>
      <c r="H12" s="6">
        <f t="shared" si="3"/>
        <v>1.4958860308898003</v>
      </c>
      <c r="O12" s="122"/>
    </row>
    <row r="13" spans="1:16">
      <c r="A13">
        <v>902</v>
      </c>
      <c r="B13">
        <v>8.1000000000000003E-2</v>
      </c>
      <c r="C13">
        <f t="shared" si="0"/>
        <v>30.686039999999998</v>
      </c>
      <c r="E13" s="6">
        <f t="shared" si="1"/>
        <v>31.588409873714724</v>
      </c>
      <c r="F13" s="6">
        <f t="shared" si="2"/>
        <v>0.81427138898792994</v>
      </c>
      <c r="G13" s="13">
        <f t="shared" si="4"/>
        <v>32.35774085953669</v>
      </c>
      <c r="H13" s="6">
        <f t="shared" si="3"/>
        <v>2.7945837637757149</v>
      </c>
      <c r="O13" s="122"/>
    </row>
    <row r="14" spans="1:16">
      <c r="A14">
        <v>1394</v>
      </c>
      <c r="B14">
        <v>4.5999999999999999E-2</v>
      </c>
      <c r="C14">
        <f t="shared" si="0"/>
        <v>26.932079999999996</v>
      </c>
      <c r="E14" s="6">
        <f t="shared" si="1"/>
        <v>28.041010179172297</v>
      </c>
      <c r="F14" s="6">
        <f t="shared" si="2"/>
        <v>1.2297261422791115</v>
      </c>
      <c r="G14" s="13">
        <f t="shared" si="4"/>
        <v>28.07357494386174</v>
      </c>
      <c r="H14" s="6">
        <f t="shared" si="3"/>
        <v>1.3030107068619263</v>
      </c>
      <c r="O14" s="122"/>
    </row>
    <row r="15" spans="1:16">
      <c r="A15">
        <v>1731</v>
      </c>
      <c r="B15">
        <v>3.5999999999999997E-2</v>
      </c>
      <c r="C15">
        <f t="shared" si="0"/>
        <v>26.172719999999998</v>
      </c>
      <c r="E15" s="6">
        <f t="shared" si="1"/>
        <v>25.832919939659408</v>
      </c>
      <c r="F15" s="6">
        <f t="shared" si="2"/>
        <v>0.11546408100746842</v>
      </c>
      <c r="G15" s="13">
        <f t="shared" si="4"/>
        <v>25.495902202690793</v>
      </c>
      <c r="H15" s="6">
        <f t="shared" si="3"/>
        <v>0.45808233075448423</v>
      </c>
      <c r="O15" s="122"/>
    </row>
    <row r="16" spans="1:16">
      <c r="A16">
        <v>2158</v>
      </c>
      <c r="B16">
        <v>2.5999999999999999E-2</v>
      </c>
      <c r="C16">
        <f t="shared" si="0"/>
        <v>23.565359999999998</v>
      </c>
      <c r="E16" s="6">
        <f t="shared" si="1"/>
        <v>23.282777184930026</v>
      </c>
      <c r="F16" s="6">
        <f t="shared" si="2"/>
        <v>7.9853047372870037E-2</v>
      </c>
      <c r="G16" s="13">
        <f t="shared" si="4"/>
        <v>22.744796831788555</v>
      </c>
      <c r="H16" s="6">
        <f t="shared" si="3"/>
        <v>0.67332391302520078</v>
      </c>
      <c r="O16" s="122"/>
    </row>
    <row r="17" spans="1:15">
      <c r="A17">
        <v>2664</v>
      </c>
      <c r="B17">
        <v>1.9E-2</v>
      </c>
      <c r="C17">
        <f t="shared" si="0"/>
        <v>21.25872</v>
      </c>
      <c r="E17" s="6">
        <f t="shared" si="1"/>
        <v>20.584698299285062</v>
      </c>
      <c r="F17" s="6">
        <f t="shared" si="2"/>
        <v>0.45430525303465785</v>
      </c>
      <c r="G17" s="13">
        <f t="shared" si="4"/>
        <v>20.110602499426744</v>
      </c>
      <c r="H17" s="6">
        <f t="shared" si="3"/>
        <v>1.318173795122582</v>
      </c>
      <c r="O17" s="122"/>
    </row>
    <row r="18" spans="1:15">
      <c r="A18">
        <v>3250</v>
      </c>
      <c r="B18">
        <v>1.2999999999999999E-2</v>
      </c>
      <c r="C18">
        <f t="shared" si="0"/>
        <v>17.745000000000001</v>
      </c>
      <c r="E18" s="6">
        <f t="shared" si="1"/>
        <v>17.848316482660842</v>
      </c>
      <c r="F18" s="6">
        <f t="shared" si="2"/>
        <v>1.0674295589407775E-2</v>
      </c>
      <c r="G18" s="13">
        <f t="shared" si="4"/>
        <v>17.701182849640116</v>
      </c>
      <c r="H18" s="6">
        <f t="shared" si="3"/>
        <v>1.919942665660788E-3</v>
      </c>
      <c r="O18" s="122"/>
    </row>
    <row r="19" spans="1:15">
      <c r="E19" s="6"/>
      <c r="F19" s="6"/>
      <c r="G19" s="6"/>
      <c r="H19" s="6"/>
      <c r="O19" s="122"/>
    </row>
    <row r="20" spans="1:15">
      <c r="E20"/>
      <c r="F20"/>
      <c r="G20"/>
      <c r="H20"/>
      <c r="O20" s="122"/>
    </row>
    <row r="21" spans="1:15">
      <c r="E21"/>
      <c r="F21"/>
      <c r="G21"/>
      <c r="H21"/>
      <c r="O21" s="122"/>
    </row>
    <row r="22" spans="1:15">
      <c r="E22"/>
      <c r="F22"/>
      <c r="G22"/>
      <c r="H22"/>
      <c r="O22" s="122"/>
    </row>
    <row r="23" spans="1:15">
      <c r="E23"/>
      <c r="F23"/>
      <c r="G23"/>
      <c r="H23"/>
      <c r="K23" s="9" t="s">
        <v>15</v>
      </c>
      <c r="N23" s="86" t="s">
        <v>23</v>
      </c>
      <c r="O23" s="123">
        <f>1/(L26+2*SQRT(L25*L27))</f>
        <v>34.84103588142402</v>
      </c>
    </row>
    <row r="24" spans="1:15">
      <c r="E24"/>
      <c r="F24"/>
      <c r="G24"/>
      <c r="H24"/>
      <c r="N24" s="87" t="s">
        <v>25</v>
      </c>
      <c r="O24" s="124">
        <f>1/L27</f>
        <v>0.34605706054982582</v>
      </c>
    </row>
    <row r="25" spans="1:15">
      <c r="E25"/>
      <c r="F25"/>
      <c r="G25"/>
      <c r="H25"/>
      <c r="K25" t="s">
        <v>24</v>
      </c>
      <c r="L25" s="88">
        <v>1.188390599214785E-5</v>
      </c>
      <c r="N25" s="87" t="s">
        <v>29</v>
      </c>
      <c r="O25" s="124">
        <f>L27/(L26+2*SQRT(L25*L27))</f>
        <v>100.68003185968099</v>
      </c>
    </row>
    <row r="26" spans="1:15">
      <c r="E26"/>
      <c r="F26"/>
      <c r="G26"/>
      <c r="H26"/>
      <c r="K26" t="s">
        <v>26</v>
      </c>
      <c r="L26">
        <v>1.6981567850589852E-2</v>
      </c>
    </row>
    <row r="27" spans="1:15">
      <c r="E27"/>
      <c r="F27"/>
      <c r="G27"/>
      <c r="H27"/>
      <c r="K27" t="s">
        <v>35</v>
      </c>
      <c r="L27">
        <v>2.8896968563830776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19.527579493420351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71FB8-FC15-4C14-82FE-DFB36AE3E829}">
  <sheetPr codeName="Tabelle23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3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0.79300000000000004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0.59399999999999997</v>
      </c>
      <c r="C5">
        <f t="shared" si="0"/>
        <v>3.4927199999999994</v>
      </c>
      <c r="E5" s="6">
        <f t="shared" si="1"/>
        <v>3.9165934482308611</v>
      </c>
      <c r="F5" s="6">
        <f t="shared" si="2"/>
        <v>0.17966870011512101</v>
      </c>
      <c r="G5" s="13">
        <f t="shared" ref="G5:G18" si="4">(A5/(($L$25*A5^2)+($L$26*A5)+$L$27))</f>
        <v>4.1101028270240763</v>
      </c>
      <c r="H5" s="6">
        <f t="shared" si="3"/>
        <v>0.38116155510424121</v>
      </c>
      <c r="K5" s="126" t="s">
        <v>14</v>
      </c>
      <c r="L5" s="126"/>
    </row>
    <row r="6" spans="1:16">
      <c r="A6">
        <v>23</v>
      </c>
      <c r="B6">
        <v>0.57399999999999995</v>
      </c>
      <c r="C6">
        <f t="shared" si="0"/>
        <v>5.5448399999999989</v>
      </c>
      <c r="E6" s="6">
        <f t="shared" si="1"/>
        <v>6.2225889132439969</v>
      </c>
      <c r="F6" s="6">
        <f t="shared" si="2"/>
        <v>0.45934358940342035</v>
      </c>
      <c r="G6" s="13">
        <f t="shared" si="4"/>
        <v>6.4757046976335184</v>
      </c>
      <c r="H6" s="6">
        <f t="shared" si="3"/>
        <v>0.86650908530034376</v>
      </c>
    </row>
    <row r="7" spans="1:16">
      <c r="A7">
        <v>36</v>
      </c>
      <c r="B7">
        <v>0.56100000000000005</v>
      </c>
      <c r="C7">
        <f t="shared" si="0"/>
        <v>8.4823199999999996</v>
      </c>
      <c r="E7" s="6">
        <f t="shared" si="1"/>
        <v>9.285611365345888</v>
      </c>
      <c r="F7" s="6">
        <f t="shared" si="2"/>
        <v>0.6452770176392616</v>
      </c>
      <c r="G7" s="13">
        <f t="shared" si="4"/>
        <v>9.5617179225234956</v>
      </c>
      <c r="H7" s="6">
        <f t="shared" si="3"/>
        <v>1.165099875148039</v>
      </c>
      <c r="K7" t="s">
        <v>75</v>
      </c>
      <c r="L7">
        <v>41.346890605050731</v>
      </c>
      <c r="N7" s="86" t="s">
        <v>23</v>
      </c>
      <c r="O7" s="110">
        <f>L7*(L8/(L8+L9))*((L9/(L8+L9))^(L9/L8))</f>
        <v>35.796080386599549</v>
      </c>
    </row>
    <row r="8" spans="1:16">
      <c r="A8">
        <v>86</v>
      </c>
      <c r="B8">
        <v>0.48699999999999999</v>
      </c>
      <c r="C8">
        <f t="shared" si="0"/>
        <v>17.590439999999997</v>
      </c>
      <c r="E8" s="6">
        <f t="shared" si="1"/>
        <v>18.583897617770109</v>
      </c>
      <c r="F8" s="6">
        <f t="shared" si="2"/>
        <v>0.98695803830546547</v>
      </c>
      <c r="G8" s="13">
        <f t="shared" si="4"/>
        <v>18.616230354702228</v>
      </c>
      <c r="H8" s="6">
        <f t="shared" si="3"/>
        <v>1.0522458518001288</v>
      </c>
      <c r="K8" t="s">
        <v>25</v>
      </c>
      <c r="L8">
        <v>0.29491044327270943</v>
      </c>
      <c r="N8" s="87" t="s">
        <v>25</v>
      </c>
      <c r="O8" s="111">
        <f>L8</f>
        <v>0.29491044327270943</v>
      </c>
    </row>
    <row r="9" spans="1:16">
      <c r="A9">
        <v>157</v>
      </c>
      <c r="B9">
        <v>0.40300000000000002</v>
      </c>
      <c r="C9">
        <f t="shared" si="0"/>
        <v>26.573819999999998</v>
      </c>
      <c r="E9" s="6">
        <f t="shared" si="1"/>
        <v>26.860236431933366</v>
      </c>
      <c r="F9" s="6">
        <f t="shared" si="2"/>
        <v>8.2034372481441728E-2</v>
      </c>
      <c r="G9" s="13">
        <f t="shared" si="4"/>
        <v>26.490014635408972</v>
      </c>
      <c r="H9" s="6">
        <f t="shared" si="3"/>
        <v>7.0233391342347474E-3</v>
      </c>
      <c r="K9" t="s">
        <v>27</v>
      </c>
      <c r="L9">
        <v>9.5653731448224338E-3</v>
      </c>
      <c r="N9" s="87" t="s">
        <v>29</v>
      </c>
      <c r="O9" s="111">
        <f>O7/O8</f>
        <v>121.37949402320153</v>
      </c>
    </row>
    <row r="10" spans="1:16">
      <c r="A10">
        <v>211</v>
      </c>
      <c r="B10">
        <v>0.36499999999999999</v>
      </c>
      <c r="C10">
        <f t="shared" si="0"/>
        <v>32.346299999999999</v>
      </c>
      <c r="E10" s="6">
        <f t="shared" si="1"/>
        <v>30.634471318793064</v>
      </c>
      <c r="F10" s="6">
        <f t="shared" si="2"/>
        <v>2.9303574338026741</v>
      </c>
      <c r="G10" s="13">
        <f t="shared" si="4"/>
        <v>30.166752051903909</v>
      </c>
      <c r="H10" s="6">
        <f t="shared" si="3"/>
        <v>4.7504292580498761</v>
      </c>
      <c r="O10" s="112"/>
      <c r="P10" s="21"/>
    </row>
    <row r="11" spans="1:16">
      <c r="A11">
        <v>365</v>
      </c>
      <c r="B11">
        <v>0.23599999999999999</v>
      </c>
      <c r="C11">
        <f t="shared" si="0"/>
        <v>36.178799999999995</v>
      </c>
      <c r="E11" s="6">
        <f t="shared" si="1"/>
        <v>35.186127860319999</v>
      </c>
      <c r="F11" s="6">
        <f t="shared" si="2"/>
        <v>0.98539797689686193</v>
      </c>
      <c r="G11" s="13">
        <f t="shared" si="4"/>
        <v>35.135642069729109</v>
      </c>
      <c r="H11" s="6">
        <f t="shared" si="3"/>
        <v>1.0881784674870405</v>
      </c>
      <c r="K11" s="6" t="s">
        <v>74</v>
      </c>
      <c r="L11">
        <f>SUM(F:F)</f>
        <v>12.460553528700421</v>
      </c>
      <c r="O11" s="112"/>
    </row>
    <row r="12" spans="1:16">
      <c r="A12">
        <v>577</v>
      </c>
      <c r="B12">
        <v>0.14699999999999999</v>
      </c>
      <c r="C12">
        <f t="shared" si="0"/>
        <v>35.623979999999996</v>
      </c>
      <c r="E12" s="6">
        <f t="shared" si="1"/>
        <v>35.589803553965687</v>
      </c>
      <c r="F12" s="6">
        <f t="shared" si="2"/>
        <v>1.1680294635360068E-3</v>
      </c>
      <c r="G12" s="13">
        <f t="shared" si="4"/>
        <v>36.276419457635768</v>
      </c>
      <c r="H12" s="6">
        <f t="shared" si="3"/>
        <v>0.42567724588006051</v>
      </c>
      <c r="O12" s="112"/>
    </row>
    <row r="13" spans="1:16">
      <c r="A13">
        <v>902</v>
      </c>
      <c r="B13">
        <v>8.5999999999999993E-2</v>
      </c>
      <c r="C13">
        <f t="shared" si="0"/>
        <v>32.580239999999996</v>
      </c>
      <c r="E13" s="6">
        <f t="shared" si="1"/>
        <v>33.505733899403566</v>
      </c>
      <c r="F13" s="6">
        <f t="shared" si="2"/>
        <v>0.85653895783322487</v>
      </c>
      <c r="G13" s="13">
        <f t="shared" si="4"/>
        <v>34.342175157028542</v>
      </c>
      <c r="H13" s="6">
        <f t="shared" si="3"/>
        <v>3.104415497573207</v>
      </c>
      <c r="O13" s="112"/>
    </row>
    <row r="14" spans="1:16">
      <c r="A14">
        <v>1394</v>
      </c>
      <c r="B14">
        <v>5.0999999999999997E-2</v>
      </c>
      <c r="C14">
        <f t="shared" si="0"/>
        <v>29.859479999999998</v>
      </c>
      <c r="E14" s="6">
        <f t="shared" si="1"/>
        <v>29.947774175363897</v>
      </c>
      <c r="F14" s="6">
        <f t="shared" si="2"/>
        <v>7.7958614031909193E-3</v>
      </c>
      <c r="G14" s="13">
        <f t="shared" si="4"/>
        <v>30.09070292746863</v>
      </c>
      <c r="H14" s="6">
        <f t="shared" si="3"/>
        <v>5.3464042187164426E-2</v>
      </c>
      <c r="O14" s="112"/>
    </row>
    <row r="15" spans="1:16">
      <c r="A15">
        <v>1731</v>
      </c>
      <c r="B15">
        <v>3.6999999999999998E-2</v>
      </c>
      <c r="C15">
        <f t="shared" si="0"/>
        <v>26.899739999999998</v>
      </c>
      <c r="E15" s="6">
        <f t="shared" si="1"/>
        <v>27.702859964083462</v>
      </c>
      <c r="F15" s="6">
        <f t="shared" si="2"/>
        <v>0.64500167670942499</v>
      </c>
      <c r="G15" s="13">
        <f t="shared" si="4"/>
        <v>27.427702249257525</v>
      </c>
      <c r="H15" s="6">
        <f t="shared" si="3"/>
        <v>0.27874413664106718</v>
      </c>
      <c r="O15" s="112"/>
    </row>
    <row r="16" spans="1:16">
      <c r="A16">
        <v>2158</v>
      </c>
      <c r="B16">
        <v>2.5999999999999999E-2</v>
      </c>
      <c r="C16">
        <f t="shared" si="0"/>
        <v>23.565359999999998</v>
      </c>
      <c r="E16" s="6">
        <f t="shared" si="1"/>
        <v>25.097185769328512</v>
      </c>
      <c r="F16" s="6">
        <f t="shared" si="2"/>
        <v>2.3464901875788917</v>
      </c>
      <c r="G16" s="13">
        <f t="shared" si="4"/>
        <v>24.541521734560948</v>
      </c>
      <c r="H16" s="6">
        <f t="shared" si="3"/>
        <v>0.95289173202104283</v>
      </c>
      <c r="O16" s="112"/>
    </row>
    <row r="17" spans="1:15">
      <c r="A17">
        <v>2664</v>
      </c>
      <c r="B17">
        <v>2.1000000000000001E-2</v>
      </c>
      <c r="C17">
        <f t="shared" si="0"/>
        <v>23.496480000000002</v>
      </c>
      <c r="E17" s="6">
        <f t="shared" si="1"/>
        <v>22.324743444870272</v>
      </c>
      <c r="F17" s="6">
        <f t="shared" si="2"/>
        <v>1.3729665546272865</v>
      </c>
      <c r="G17" s="13">
        <f t="shared" si="4"/>
        <v>21.748887592821855</v>
      </c>
      <c r="H17" s="6">
        <f t="shared" si="3"/>
        <v>3.0540792216267079</v>
      </c>
      <c r="O17" s="112"/>
    </row>
    <row r="18" spans="1:15">
      <c r="A18">
        <v>3250</v>
      </c>
      <c r="B18">
        <v>1.4999999999999999E-2</v>
      </c>
      <c r="C18">
        <f t="shared" si="0"/>
        <v>20.474999999999998</v>
      </c>
      <c r="E18" s="6">
        <f t="shared" si="1"/>
        <v>19.494410823820381</v>
      </c>
      <c r="F18" s="6">
        <f t="shared" si="2"/>
        <v>0.96155513244061963</v>
      </c>
      <c r="G18" s="13">
        <f t="shared" si="4"/>
        <v>19.176302982801449</v>
      </c>
      <c r="H18" s="6">
        <f t="shared" si="3"/>
        <v>1.6866139424804083</v>
      </c>
      <c r="O18" s="112"/>
    </row>
    <row r="19" spans="1:15">
      <c r="E19" s="6"/>
      <c r="F19" s="6"/>
      <c r="G19" s="6"/>
      <c r="H19" s="6"/>
      <c r="O19" s="112"/>
    </row>
    <row r="20" spans="1:15">
      <c r="E20"/>
      <c r="F20"/>
      <c r="G20"/>
      <c r="H20"/>
      <c r="O20" s="112"/>
    </row>
    <row r="21" spans="1:15">
      <c r="E21"/>
      <c r="F21"/>
      <c r="G21"/>
      <c r="H21"/>
      <c r="O21" s="112"/>
    </row>
    <row r="22" spans="1:15">
      <c r="E22"/>
      <c r="F22"/>
      <c r="G22"/>
      <c r="H22"/>
      <c r="O22" s="112"/>
    </row>
    <row r="23" spans="1:15">
      <c r="E23"/>
      <c r="F23"/>
      <c r="G23"/>
      <c r="H23"/>
      <c r="K23" s="9" t="s">
        <v>15</v>
      </c>
      <c r="N23" s="86" t="s">
        <v>23</v>
      </c>
      <c r="O23" s="113">
        <f>1/(L26+2*SQRT(L25*L27))</f>
        <v>36.309413531216826</v>
      </c>
    </row>
    <row r="24" spans="1:15">
      <c r="E24"/>
      <c r="F24"/>
      <c r="G24"/>
      <c r="H24"/>
      <c r="N24" s="87" t="s">
        <v>25</v>
      </c>
      <c r="O24" s="114">
        <f>1/L27</f>
        <v>0.31412745234675321</v>
      </c>
    </row>
    <row r="25" spans="1:15">
      <c r="E25"/>
      <c r="F25"/>
      <c r="G25"/>
      <c r="H25"/>
      <c r="K25" t="s">
        <v>24</v>
      </c>
      <c r="L25" s="88">
        <v>1.0893849217452551E-5</v>
      </c>
      <c r="N25" s="87" t="s">
        <v>29</v>
      </c>
      <c r="O25" s="114">
        <f>L27/(L26+2*SQRT(L25*L27))</f>
        <v>115.58815780015385</v>
      </c>
    </row>
    <row r="26" spans="1:15">
      <c r="E26"/>
      <c r="F26"/>
      <c r="G26"/>
      <c r="H26"/>
      <c r="K26" t="s">
        <v>26</v>
      </c>
      <c r="L26">
        <v>1.5763170862411854E-2</v>
      </c>
    </row>
    <row r="27" spans="1:15">
      <c r="E27"/>
      <c r="F27"/>
      <c r="G27"/>
      <c r="H27"/>
      <c r="K27" t="s">
        <v>35</v>
      </c>
      <c r="L27">
        <v>3.1834212276873477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18.866533250433562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1B7CF-C657-46B7-A3AC-648F02DC7786}">
  <sheetPr codeName="Tabelle24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4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0.81599999999999995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0.64700000000000002</v>
      </c>
      <c r="C5">
        <f t="shared" si="0"/>
        <v>3.80436</v>
      </c>
      <c r="E5" s="6">
        <f t="shared" si="1"/>
        <v>5.5800884762910981</v>
      </c>
      <c r="F5" s="6">
        <f t="shared" si="2"/>
        <v>3.153211621511105</v>
      </c>
      <c r="G5" s="13">
        <f t="shared" ref="G5:G18" si="4">(A5/(($L$25*A5^2)+($L$26*A5)+$L$27))</f>
        <v>5.5531763724553365</v>
      </c>
      <c r="H5" s="6">
        <f t="shared" si="3"/>
        <v>3.0583587045678424</v>
      </c>
      <c r="K5" s="126" t="s">
        <v>14</v>
      </c>
      <c r="L5" s="126"/>
    </row>
    <row r="6" spans="1:16">
      <c r="A6">
        <v>23</v>
      </c>
      <c r="B6">
        <v>0.65400000000000003</v>
      </c>
      <c r="C6">
        <f t="shared" si="0"/>
        <v>6.3176399999999999</v>
      </c>
      <c r="E6" s="6">
        <f t="shared" si="1"/>
        <v>8.8590765072088118</v>
      </c>
      <c r="F6" s="6">
        <f t="shared" si="2"/>
        <v>6.4588995201737252</v>
      </c>
      <c r="G6" s="13">
        <f t="shared" si="4"/>
        <v>8.7960703309035289</v>
      </c>
      <c r="H6" s="6">
        <f t="shared" si="3"/>
        <v>6.1426169051425763</v>
      </c>
    </row>
    <row r="7" spans="1:16">
      <c r="A7">
        <v>36</v>
      </c>
      <c r="B7">
        <v>0.67900000000000005</v>
      </c>
      <c r="C7">
        <f t="shared" si="0"/>
        <v>10.266480000000001</v>
      </c>
      <c r="E7" s="6">
        <f t="shared" si="1"/>
        <v>13.206181317735403</v>
      </c>
      <c r="F7" s="6">
        <f t="shared" si="2"/>
        <v>8.6418438374952586</v>
      </c>
      <c r="G7" s="13">
        <f t="shared" si="4"/>
        <v>13.076573476022418</v>
      </c>
      <c r="H7" s="6">
        <f t="shared" si="3"/>
        <v>7.8966253439837466</v>
      </c>
      <c r="K7" t="s">
        <v>75</v>
      </c>
      <c r="L7">
        <v>58.446378636970984</v>
      </c>
      <c r="N7" s="86" t="s">
        <v>23</v>
      </c>
      <c r="O7" s="115">
        <f>L7*(L8/(L8+L9))*((L9/(L8+L9))^(L9/L8))</f>
        <v>49.482988363664546</v>
      </c>
    </row>
    <row r="8" spans="1:16">
      <c r="A8">
        <v>86</v>
      </c>
      <c r="B8">
        <v>0.65600000000000003</v>
      </c>
      <c r="C8">
        <f t="shared" si="0"/>
        <v>23.69472</v>
      </c>
      <c r="E8" s="6">
        <f t="shared" si="1"/>
        <v>26.328285926125464</v>
      </c>
      <c r="F8" s="6">
        <f t="shared" si="2"/>
        <v>6.9356694872490694</v>
      </c>
      <c r="G8" s="13">
        <f t="shared" si="4"/>
        <v>25.93660714939352</v>
      </c>
      <c r="H8" s="6">
        <f t="shared" si="3"/>
        <v>5.0260579906158025</v>
      </c>
      <c r="K8" t="s">
        <v>25</v>
      </c>
      <c r="L8">
        <v>0.42064770108736321</v>
      </c>
      <c r="N8" s="87" t="s">
        <v>25</v>
      </c>
      <c r="O8" s="116">
        <f>L8</f>
        <v>0.42064770108736321</v>
      </c>
    </row>
    <row r="9" spans="1:16">
      <c r="A9">
        <v>157</v>
      </c>
      <c r="B9">
        <v>0.59099999999999997</v>
      </c>
      <c r="C9">
        <f t="shared" si="0"/>
        <v>38.970539999999993</v>
      </c>
      <c r="E9" s="6">
        <f t="shared" si="1"/>
        <v>37.856970917615385</v>
      </c>
      <c r="F9" s="6">
        <f t="shared" si="2"/>
        <v>1.2400361012428971</v>
      </c>
      <c r="G9" s="13">
        <f t="shared" si="4"/>
        <v>37.381468656703873</v>
      </c>
      <c r="H9" s="6">
        <f t="shared" si="3"/>
        <v>2.5251477340849329</v>
      </c>
      <c r="K9" t="s">
        <v>27</v>
      </c>
      <c r="L9">
        <v>1.643172129900955E-2</v>
      </c>
      <c r="N9" s="87" t="s">
        <v>29</v>
      </c>
      <c r="O9" s="116">
        <f>O7/O8</f>
        <v>117.63522832943654</v>
      </c>
    </row>
    <row r="10" spans="1:16">
      <c r="A10">
        <v>211</v>
      </c>
      <c r="B10">
        <v>0.53400000000000003</v>
      </c>
      <c r="C10">
        <f t="shared" si="0"/>
        <v>47.323080000000004</v>
      </c>
      <c r="E10" s="6">
        <f t="shared" si="1"/>
        <v>43.016562659366897</v>
      </c>
      <c r="F10" s="6">
        <f t="shared" si="2"/>
        <v>18.546091605173647</v>
      </c>
      <c r="G10" s="13">
        <f t="shared" si="4"/>
        <v>42.719256184393863</v>
      </c>
      <c r="H10" s="6">
        <f t="shared" si="3"/>
        <v>21.195193725142289</v>
      </c>
      <c r="O10" s="117"/>
      <c r="P10" s="21"/>
    </row>
    <row r="11" spans="1:16">
      <c r="A11">
        <v>365</v>
      </c>
      <c r="B11">
        <v>0.33100000000000002</v>
      </c>
      <c r="C11">
        <f t="shared" si="0"/>
        <v>50.7423</v>
      </c>
      <c r="E11" s="6">
        <f t="shared" si="1"/>
        <v>48.932827407904455</v>
      </c>
      <c r="F11" s="6">
        <f t="shared" si="2"/>
        <v>3.2741910615449723</v>
      </c>
      <c r="G11" s="13">
        <f t="shared" si="4"/>
        <v>49.561167389786533</v>
      </c>
      <c r="H11" s="6">
        <f t="shared" si="3"/>
        <v>1.3950742429096781</v>
      </c>
      <c r="K11" s="6" t="s">
        <v>74</v>
      </c>
      <c r="L11">
        <f>SUM(F:F)</f>
        <v>59.958637617019356</v>
      </c>
      <c r="O11" s="117"/>
    </row>
    <row r="12" spans="1:16">
      <c r="A12">
        <v>577</v>
      </c>
      <c r="B12">
        <v>0.19600000000000001</v>
      </c>
      <c r="C12">
        <f t="shared" si="0"/>
        <v>47.498639999999995</v>
      </c>
      <c r="E12" s="6">
        <f t="shared" si="1"/>
        <v>48.913089073035316</v>
      </c>
      <c r="F12" s="6">
        <f t="shared" si="2"/>
        <v>2.0006661802104793</v>
      </c>
      <c r="G12" s="13">
        <f t="shared" si="4"/>
        <v>50.298097528317889</v>
      </c>
      <c r="H12" s="6">
        <f t="shared" si="3"/>
        <v>7.8369624528557358</v>
      </c>
      <c r="O12" s="117"/>
    </row>
    <row r="13" spans="1:16">
      <c r="A13">
        <v>902</v>
      </c>
      <c r="B13">
        <v>0.114</v>
      </c>
      <c r="C13">
        <f t="shared" si="0"/>
        <v>43.187759999999997</v>
      </c>
      <c r="E13" s="6">
        <f t="shared" si="1"/>
        <v>45.286224517965941</v>
      </c>
      <c r="F13" s="6">
        <f t="shared" si="2"/>
        <v>4.4035533331620407</v>
      </c>
      <c r="G13" s="13">
        <f t="shared" si="4"/>
        <v>46.267539935053428</v>
      </c>
      <c r="H13" s="6">
        <f t="shared" si="3"/>
        <v>9.4850444483577121</v>
      </c>
      <c r="O13" s="117"/>
    </row>
    <row r="14" spans="1:16">
      <c r="A14">
        <v>1394</v>
      </c>
      <c r="B14">
        <v>6.6000000000000003E-2</v>
      </c>
      <c r="C14">
        <f t="shared" si="0"/>
        <v>38.641680000000001</v>
      </c>
      <c r="E14" s="6">
        <f t="shared" si="1"/>
        <v>39.494210718237575</v>
      </c>
      <c r="F14" s="6">
        <f t="shared" si="2"/>
        <v>0.72680862553867398</v>
      </c>
      <c r="G14" s="13">
        <f t="shared" si="4"/>
        <v>39.134173529652976</v>
      </c>
      <c r="H14" s="6">
        <f t="shared" si="3"/>
        <v>0.24254987675004608</v>
      </c>
      <c r="O14" s="117"/>
    </row>
    <row r="15" spans="1:16">
      <c r="A15">
        <v>1731</v>
      </c>
      <c r="B15">
        <v>4.9000000000000002E-2</v>
      </c>
      <c r="C15">
        <f t="shared" si="0"/>
        <v>35.623980000000003</v>
      </c>
      <c r="E15" s="6">
        <f t="shared" si="1"/>
        <v>35.925571948380487</v>
      </c>
      <c r="F15" s="6">
        <f t="shared" si="2"/>
        <v>9.0957703327936304E-2</v>
      </c>
      <c r="G15" s="13">
        <f t="shared" si="4"/>
        <v>35.017765253697952</v>
      </c>
      <c r="H15" s="6">
        <f t="shared" si="3"/>
        <v>0.3674963186340599</v>
      </c>
      <c r="O15" s="117"/>
    </row>
    <row r="16" spans="1:16">
      <c r="A16">
        <v>2158</v>
      </c>
      <c r="B16">
        <v>3.4000000000000002E-2</v>
      </c>
      <c r="C16">
        <f t="shared" si="0"/>
        <v>30.816240000000001</v>
      </c>
      <c r="E16" s="6">
        <f t="shared" si="1"/>
        <v>31.861726738262856</v>
      </c>
      <c r="F16" s="6">
        <f t="shared" si="2"/>
        <v>1.0930425198835048</v>
      </c>
      <c r="G16" s="13">
        <f t="shared" si="4"/>
        <v>30.75790440311189</v>
      </c>
      <c r="H16" s="6">
        <f t="shared" si="3"/>
        <v>3.4030418642920779E-3</v>
      </c>
      <c r="O16" s="117"/>
    </row>
    <row r="17" spans="1:15">
      <c r="A17">
        <v>2664</v>
      </c>
      <c r="B17">
        <v>2.5999999999999999E-2</v>
      </c>
      <c r="C17">
        <f t="shared" si="0"/>
        <v>29.090879999999999</v>
      </c>
      <c r="E17" s="6">
        <f t="shared" si="1"/>
        <v>27.636791614606793</v>
      </c>
      <c r="F17" s="6">
        <f t="shared" si="2"/>
        <v>2.1143730325354202</v>
      </c>
      <c r="G17" s="13">
        <f t="shared" si="4"/>
        <v>26.801341086061168</v>
      </c>
      <c r="H17" s="6">
        <f t="shared" si="3"/>
        <v>5.2419884384402007</v>
      </c>
      <c r="O17" s="117"/>
    </row>
    <row r="18" spans="1:15">
      <c r="A18">
        <v>3250</v>
      </c>
      <c r="B18">
        <v>1.7999999999999999E-2</v>
      </c>
      <c r="C18">
        <f t="shared" si="0"/>
        <v>24.569999999999997</v>
      </c>
      <c r="E18" s="6">
        <f t="shared" si="1"/>
        <v>23.438941651385466</v>
      </c>
      <c r="F18" s="6">
        <f t="shared" si="2"/>
        <v>1.2792929879706287</v>
      </c>
      <c r="G18" s="13">
        <f t="shared" si="4"/>
        <v>23.282098746588908</v>
      </c>
      <c r="H18" s="6">
        <f t="shared" si="3"/>
        <v>1.6586896385378547</v>
      </c>
      <c r="O18" s="117"/>
    </row>
    <row r="19" spans="1:15">
      <c r="E19" s="6"/>
      <c r="F19" s="6"/>
      <c r="G19" s="6"/>
      <c r="H19" s="6"/>
      <c r="O19" s="117"/>
    </row>
    <row r="20" spans="1:15">
      <c r="E20"/>
      <c r="F20"/>
      <c r="G20"/>
      <c r="H20"/>
      <c r="O20" s="117"/>
    </row>
    <row r="21" spans="1:15">
      <c r="E21"/>
      <c r="F21"/>
      <c r="G21"/>
      <c r="H21"/>
      <c r="O21" s="117"/>
    </row>
    <row r="22" spans="1:15">
      <c r="E22"/>
      <c r="F22"/>
      <c r="G22"/>
      <c r="H22"/>
      <c r="O22" s="117"/>
    </row>
    <row r="23" spans="1:15">
      <c r="E23"/>
      <c r="F23"/>
      <c r="G23"/>
      <c r="H23"/>
      <c r="K23" s="9" t="s">
        <v>15</v>
      </c>
      <c r="N23" s="86" t="s">
        <v>23</v>
      </c>
      <c r="O23" s="118">
        <f>1/(L26+2*SQRT(L25*L27))</f>
        <v>50.627437376950489</v>
      </c>
    </row>
    <row r="24" spans="1:15">
      <c r="E24"/>
      <c r="F24"/>
      <c r="G24"/>
      <c r="H24"/>
      <c r="N24" s="87" t="s">
        <v>25</v>
      </c>
      <c r="O24" s="119">
        <f>1/L27</f>
        <v>0.420437689534368</v>
      </c>
    </row>
    <row r="25" spans="1:15">
      <c r="E25"/>
      <c r="F25"/>
      <c r="G25"/>
      <c r="H25"/>
      <c r="K25" t="s">
        <v>24</v>
      </c>
      <c r="L25" s="88">
        <v>9.8990971658210125E-6</v>
      </c>
      <c r="N25" s="87" t="s">
        <v>29</v>
      </c>
      <c r="O25" s="119">
        <f>L27/(L26+2*SQRT(L25*L27))</f>
        <v>120.41602985931172</v>
      </c>
    </row>
    <row r="26" spans="1:15">
      <c r="E26"/>
      <c r="F26"/>
      <c r="G26"/>
      <c r="H26"/>
      <c r="K26" t="s">
        <v>26</v>
      </c>
      <c r="L26">
        <v>1.0047550426224218E-2</v>
      </c>
    </row>
    <row r="27" spans="1:15">
      <c r="E27"/>
      <c r="F27"/>
      <c r="G27"/>
      <c r="H27"/>
      <c r="K27" t="s">
        <v>35</v>
      </c>
      <c r="L27">
        <v>2.3784737308101316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72.07520886188675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CD9AE-C69F-4662-ACE2-A0302F550CF7}">
  <sheetPr codeName="Tabelle25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4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0.79500000000000004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0.57299999999999995</v>
      </c>
      <c r="C5">
        <f t="shared" si="0"/>
        <v>3.3692399999999991</v>
      </c>
      <c r="E5" s="6">
        <f t="shared" si="1"/>
        <v>4.6240862120661204</v>
      </c>
      <c r="F5" s="6">
        <f t="shared" si="2"/>
        <v>1.574639015936693</v>
      </c>
      <c r="G5" s="13">
        <f t="shared" ref="G5:G18" si="4">(A5/(($L$25*A5^2)+($L$26*A5)+$L$27))</f>
        <v>4.7244063772309843</v>
      </c>
      <c r="H5" s="6">
        <f t="shared" si="3"/>
        <v>1.8364759099773529</v>
      </c>
      <c r="K5" s="126" t="s">
        <v>14</v>
      </c>
      <c r="L5" s="126"/>
    </row>
    <row r="6" spans="1:16">
      <c r="A6">
        <v>23</v>
      </c>
      <c r="B6">
        <v>0.56599999999999995</v>
      </c>
      <c r="C6">
        <f t="shared" si="0"/>
        <v>5.4675599999999998</v>
      </c>
      <c r="E6" s="6">
        <f t="shared" si="1"/>
        <v>7.3504691772665574</v>
      </c>
      <c r="F6" s="6">
        <f t="shared" si="2"/>
        <v>3.5453469698346249</v>
      </c>
      <c r="G6" s="13">
        <f t="shared" si="4"/>
        <v>7.4698229149723812</v>
      </c>
      <c r="H6" s="6">
        <f t="shared" si="3"/>
        <v>4.0090567806736974</v>
      </c>
    </row>
    <row r="7" spans="1:16">
      <c r="A7">
        <v>36</v>
      </c>
      <c r="B7">
        <v>0.59199999999999997</v>
      </c>
      <c r="C7">
        <f t="shared" si="0"/>
        <v>8.951039999999999</v>
      </c>
      <c r="E7" s="6">
        <f t="shared" si="1"/>
        <v>10.976644009222927</v>
      </c>
      <c r="F7" s="6">
        <f t="shared" si="2"/>
        <v>4.1030716021799982</v>
      </c>
      <c r="G7" s="13">
        <f t="shared" si="4"/>
        <v>11.080078379649382</v>
      </c>
      <c r="H7" s="6">
        <f t="shared" si="3"/>
        <v>4.5328044220200727</v>
      </c>
      <c r="K7" t="s">
        <v>75</v>
      </c>
      <c r="L7">
        <v>49.936244205360111</v>
      </c>
      <c r="N7" s="86" t="s">
        <v>23</v>
      </c>
      <c r="O7" s="115">
        <f>L7*(L8/(L8+L9))*((L9/(L8+L9))^(L9/L8))</f>
        <v>42.670099292603318</v>
      </c>
    </row>
    <row r="8" spans="1:16">
      <c r="A8">
        <v>86</v>
      </c>
      <c r="B8">
        <v>0.56000000000000005</v>
      </c>
      <c r="C8">
        <f t="shared" si="0"/>
        <v>20.2272</v>
      </c>
      <c r="E8" s="6">
        <f t="shared" si="1"/>
        <v>22.022986901837186</v>
      </c>
      <c r="F8" s="6">
        <f t="shared" si="2"/>
        <v>3.2248505968099987</v>
      </c>
      <c r="G8" s="13">
        <f t="shared" si="4"/>
        <v>21.857513134793951</v>
      </c>
      <c r="H8" s="6">
        <f t="shared" si="3"/>
        <v>2.6579209174816802</v>
      </c>
      <c r="K8" t="s">
        <v>25</v>
      </c>
      <c r="L8">
        <v>0.34788972157986375</v>
      </c>
      <c r="N8" s="87" t="s">
        <v>25</v>
      </c>
      <c r="O8" s="116">
        <f>L8</f>
        <v>0.34788972157986375</v>
      </c>
    </row>
    <row r="9" spans="1:16">
      <c r="A9">
        <v>157</v>
      </c>
      <c r="B9">
        <v>0.49299999999999999</v>
      </c>
      <c r="C9">
        <f t="shared" si="0"/>
        <v>32.508419999999994</v>
      </c>
      <c r="E9" s="6">
        <f t="shared" si="1"/>
        <v>31.918013628731448</v>
      </c>
      <c r="F9" s="6">
        <f t="shared" si="2"/>
        <v>0.34857968323449257</v>
      </c>
      <c r="G9" s="13">
        <f t="shared" si="4"/>
        <v>31.437016271520513</v>
      </c>
      <c r="H9" s="6">
        <f t="shared" si="3"/>
        <v>1.1479059493997341</v>
      </c>
      <c r="K9" t="s">
        <v>27</v>
      </c>
      <c r="L9">
        <v>1.2621038678322453E-2</v>
      </c>
      <c r="N9" s="87" t="s">
        <v>29</v>
      </c>
      <c r="O9" s="116">
        <f>O7/O8</f>
        <v>122.65409595554176</v>
      </c>
    </row>
    <row r="10" spans="1:16">
      <c r="A10">
        <v>211</v>
      </c>
      <c r="B10">
        <v>0.44700000000000001</v>
      </c>
      <c r="C10">
        <f t="shared" si="0"/>
        <v>39.613140000000001</v>
      </c>
      <c r="E10" s="6">
        <f t="shared" si="1"/>
        <v>36.457275534677827</v>
      </c>
      <c r="F10" s="6">
        <f t="shared" si="2"/>
        <v>9.9594805234832169</v>
      </c>
      <c r="G10" s="13">
        <f t="shared" si="4"/>
        <v>35.959994569140243</v>
      </c>
      <c r="H10" s="6">
        <f t="shared" si="3"/>
        <v>13.345471539011534</v>
      </c>
      <c r="O10" s="117"/>
      <c r="P10" s="21"/>
    </row>
    <row r="11" spans="1:16">
      <c r="A11">
        <v>365</v>
      </c>
      <c r="B11">
        <v>0.28100000000000003</v>
      </c>
      <c r="C11">
        <f t="shared" si="0"/>
        <v>43.077300000000001</v>
      </c>
      <c r="E11" s="6">
        <f t="shared" si="1"/>
        <v>41.954606186291436</v>
      </c>
      <c r="F11" s="6">
        <f t="shared" si="2"/>
        <v>1.260441399339483</v>
      </c>
      <c r="G11" s="13">
        <f t="shared" si="4"/>
        <v>42.05109239922632</v>
      </c>
      <c r="H11" s="6">
        <f t="shared" si="3"/>
        <v>1.0531020398856745</v>
      </c>
      <c r="K11" s="6" t="s">
        <v>74</v>
      </c>
      <c r="L11">
        <f>SUM(F:F)</f>
        <v>30.004136330389475</v>
      </c>
      <c r="O11" s="117"/>
    </row>
    <row r="12" spans="1:16">
      <c r="A12">
        <v>577</v>
      </c>
      <c r="B12">
        <v>0.17</v>
      </c>
      <c r="C12">
        <f t="shared" si="0"/>
        <v>41.197800000000001</v>
      </c>
      <c r="E12" s="6">
        <f t="shared" si="1"/>
        <v>42.384982457866897</v>
      </c>
      <c r="F12" s="6">
        <f t="shared" si="2"/>
        <v>1.4094021882668852</v>
      </c>
      <c r="G12" s="13">
        <f t="shared" si="4"/>
        <v>43.288162598531621</v>
      </c>
      <c r="H12" s="6">
        <f t="shared" si="3"/>
        <v>4.3696157933398654</v>
      </c>
      <c r="O12" s="117"/>
    </row>
    <row r="13" spans="1:16">
      <c r="A13">
        <v>902</v>
      </c>
      <c r="B13">
        <v>0.10100000000000001</v>
      </c>
      <c r="C13">
        <f t="shared" si="0"/>
        <v>38.262839999999997</v>
      </c>
      <c r="E13" s="6">
        <f t="shared" si="1"/>
        <v>39.6822932229814</v>
      </c>
      <c r="F13" s="6">
        <f t="shared" si="2"/>
        <v>2.0148474522322926</v>
      </c>
      <c r="G13" s="13">
        <f t="shared" si="4"/>
        <v>40.618645215931167</v>
      </c>
      <c r="H13" s="6">
        <f t="shared" si="3"/>
        <v>5.5498182154085063</v>
      </c>
      <c r="O13" s="117"/>
    </row>
    <row r="14" spans="1:16">
      <c r="A14">
        <v>1394</v>
      </c>
      <c r="B14">
        <v>5.8000000000000003E-2</v>
      </c>
      <c r="C14">
        <f t="shared" si="0"/>
        <v>33.957839999999997</v>
      </c>
      <c r="E14" s="6">
        <f t="shared" si="1"/>
        <v>35.105670923313937</v>
      </c>
      <c r="F14" s="6">
        <f t="shared" si="2"/>
        <v>1.3175158285157318</v>
      </c>
      <c r="G14" s="13">
        <f t="shared" si="4"/>
        <v>35.135218192033726</v>
      </c>
      <c r="H14" s="6">
        <f t="shared" si="3"/>
        <v>1.3862194070766114</v>
      </c>
      <c r="O14" s="117"/>
    </row>
    <row r="15" spans="1:16">
      <c r="A15">
        <v>1731</v>
      </c>
      <c r="B15">
        <v>4.4999999999999998E-2</v>
      </c>
      <c r="C15">
        <f t="shared" si="0"/>
        <v>32.715899999999998</v>
      </c>
      <c r="E15" s="6">
        <f t="shared" si="1"/>
        <v>32.241133188507121</v>
      </c>
      <c r="F15" s="6">
        <f t="shared" si="2"/>
        <v>0.22540352529511315</v>
      </c>
      <c r="G15" s="13">
        <f t="shared" si="4"/>
        <v>31.795573502791104</v>
      </c>
      <c r="H15" s="6">
        <f t="shared" si="3"/>
        <v>0.84700086146479203</v>
      </c>
      <c r="O15" s="117"/>
    </row>
    <row r="16" spans="1:16">
      <c r="A16">
        <v>2158</v>
      </c>
      <c r="B16">
        <v>3.3000000000000002E-2</v>
      </c>
      <c r="C16">
        <f t="shared" si="0"/>
        <v>29.909879999999998</v>
      </c>
      <c r="E16" s="6">
        <f t="shared" si="1"/>
        <v>28.942968140147133</v>
      </c>
      <c r="F16" s="6">
        <f t="shared" si="2"/>
        <v>0.93491854472412472</v>
      </c>
      <c r="G16" s="13">
        <f t="shared" si="4"/>
        <v>28.237971743670368</v>
      </c>
      <c r="H16" s="6">
        <f t="shared" si="3"/>
        <v>2.7952772175831826</v>
      </c>
      <c r="O16" s="117"/>
    </row>
    <row r="17" spans="1:15">
      <c r="A17">
        <v>2664</v>
      </c>
      <c r="B17">
        <v>2.3E-2</v>
      </c>
      <c r="C17">
        <f t="shared" si="0"/>
        <v>25.73424</v>
      </c>
      <c r="E17" s="6">
        <f t="shared" si="1"/>
        <v>25.468428354106031</v>
      </c>
      <c r="F17" s="6">
        <f t="shared" si="2"/>
        <v>7.0655831092860652E-2</v>
      </c>
      <c r="G17" s="13">
        <f t="shared" si="4"/>
        <v>24.850288250713916</v>
      </c>
      <c r="H17" s="6">
        <f t="shared" si="3"/>
        <v>0.78137069506592716</v>
      </c>
      <c r="O17" s="117"/>
    </row>
    <row r="18" spans="1:15">
      <c r="A18">
        <v>3250</v>
      </c>
      <c r="B18">
        <v>1.6E-2</v>
      </c>
      <c r="C18">
        <f t="shared" si="0"/>
        <v>21.84</v>
      </c>
      <c r="E18" s="6">
        <f t="shared" si="1"/>
        <v>21.962405757397111</v>
      </c>
      <c r="F18" s="6">
        <f t="shared" si="2"/>
        <v>1.4983169443960371E-2</v>
      </c>
      <c r="G18" s="13">
        <f t="shared" si="4"/>
        <v>21.773512957224916</v>
      </c>
      <c r="H18" s="6">
        <f t="shared" si="3"/>
        <v>4.4205268569757752E-3</v>
      </c>
      <c r="O18" s="117"/>
    </row>
    <row r="19" spans="1:15">
      <c r="E19" s="6"/>
      <c r="F19" s="6"/>
      <c r="G19" s="6"/>
      <c r="H19" s="6"/>
      <c r="O19" s="117"/>
    </row>
    <row r="20" spans="1:15">
      <c r="E20"/>
      <c r="F20"/>
      <c r="G20"/>
      <c r="H20"/>
      <c r="O20" s="117"/>
    </row>
    <row r="21" spans="1:15">
      <c r="E21"/>
      <c r="F21"/>
      <c r="G21"/>
      <c r="H21"/>
      <c r="O21" s="117"/>
    </row>
    <row r="22" spans="1:15">
      <c r="E22"/>
      <c r="F22"/>
      <c r="G22"/>
      <c r="H22"/>
      <c r="O22" s="117"/>
    </row>
    <row r="23" spans="1:15">
      <c r="E23"/>
      <c r="F23"/>
      <c r="G23"/>
      <c r="H23"/>
      <c r="K23" s="9" t="s">
        <v>15</v>
      </c>
      <c r="N23" s="86" t="s">
        <v>23</v>
      </c>
      <c r="O23" s="118">
        <f>1/(L26+2*SQRT(L25*L27))</f>
        <v>43.369045894194116</v>
      </c>
    </row>
    <row r="24" spans="1:15">
      <c r="E24"/>
      <c r="F24"/>
      <c r="G24"/>
      <c r="H24"/>
      <c r="N24" s="87" t="s">
        <v>25</v>
      </c>
      <c r="O24" s="119">
        <f>1/L27</f>
        <v>0.35886617214470279</v>
      </c>
    </row>
    <row r="25" spans="1:15">
      <c r="E25"/>
      <c r="F25"/>
      <c r="G25"/>
      <c r="H25"/>
      <c r="K25" t="s">
        <v>24</v>
      </c>
      <c r="L25" s="88">
        <v>1.0025566697354302E-5</v>
      </c>
      <c r="N25" s="87" t="s">
        <v>29</v>
      </c>
      <c r="O25" s="119">
        <f>L27/(L26+2*SQRT(L25*L27))</f>
        <v>120.8501922457789</v>
      </c>
    </row>
    <row r="26" spans="1:15">
      <c r="E26"/>
      <c r="F26"/>
      <c r="G26"/>
      <c r="H26"/>
      <c r="K26" t="s">
        <v>26</v>
      </c>
      <c r="L26">
        <v>1.2486868442251893E-2</v>
      </c>
    </row>
    <row r="27" spans="1:15">
      <c r="E27"/>
      <c r="F27"/>
      <c r="G27"/>
      <c r="H27"/>
      <c r="K27" t="s">
        <v>35</v>
      </c>
      <c r="L27">
        <v>2.7865540906897679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44.316460275245603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96593-E070-461B-89CA-853D316C4268}">
  <sheetPr codeName="Tabelle26"/>
  <dimension ref="A1:P602"/>
  <sheetViews>
    <sheetView zoomScale="70" zoomScaleNormal="70" workbookViewId="0">
      <selection activeCell="O25" sqref="O25"/>
    </sheetView>
  </sheetViews>
  <sheetFormatPr baseColWidth="10" defaultColWidth="10.85546875" defaultRowHeight="15"/>
  <cols>
    <col min="1" max="2" width="8" bestFit="1" customWidth="1"/>
    <col min="3" max="4" width="8" customWidth="1"/>
    <col min="5" max="5" width="10.85546875" style="4"/>
    <col min="6" max="6" width="23.140625" style="5" customWidth="1"/>
    <col min="7" max="7" width="10.85546875" style="4"/>
    <col min="8" max="8" width="21.5703125" style="5" customWidth="1"/>
    <col min="14" max="14" width="27" customWidth="1"/>
    <col min="15" max="15" width="24.5703125" bestFit="1" customWidth="1"/>
  </cols>
  <sheetData>
    <row r="1" spans="1:16">
      <c r="E1"/>
      <c r="F1"/>
      <c r="G1"/>
      <c r="H1"/>
    </row>
    <row r="2" spans="1:16">
      <c r="E2" s="125" t="s">
        <v>14</v>
      </c>
      <c r="F2" s="125"/>
      <c r="G2" s="125" t="s">
        <v>15</v>
      </c>
      <c r="H2" s="125"/>
    </row>
    <row r="3" spans="1:16">
      <c r="A3" t="s">
        <v>55</v>
      </c>
      <c r="B3" t="s">
        <v>3</v>
      </c>
      <c r="C3" t="s">
        <v>13</v>
      </c>
      <c r="E3" s="6" t="s">
        <v>18</v>
      </c>
      <c r="F3" s="6" t="s">
        <v>74</v>
      </c>
      <c r="G3" s="6" t="s">
        <v>18</v>
      </c>
      <c r="H3" s="6" t="s">
        <v>74</v>
      </c>
    </row>
    <row r="4" spans="1:16">
      <c r="A4">
        <v>0</v>
      </c>
      <c r="B4">
        <v>0.48799999999999999</v>
      </c>
      <c r="C4">
        <f t="shared" ref="C4:C18" si="0">A4*B4*0.84*0.5</f>
        <v>0</v>
      </c>
      <c r="E4" s="6">
        <f t="shared" ref="E4:E18" si="1">$L$7*(1-EXP((-$L$8*$A4)/$L$7))*EXP((-$L$9*$A4)/$L$7)</f>
        <v>0</v>
      </c>
      <c r="F4" s="6">
        <f t="shared" ref="F4:F18" si="2">(E4-C4)^2</f>
        <v>0</v>
      </c>
      <c r="G4" s="13">
        <f>(A4/(($L$25*A4^2)+($L$26*A4)+$L$27))</f>
        <v>0</v>
      </c>
      <c r="H4" s="6">
        <f t="shared" ref="H4:H18" si="3">(G4-C4)^2</f>
        <v>0</v>
      </c>
      <c r="M4" s="3"/>
    </row>
    <row r="5" spans="1:16">
      <c r="A5">
        <v>14</v>
      </c>
      <c r="B5">
        <v>0.25700000000000001</v>
      </c>
      <c r="C5">
        <f t="shared" si="0"/>
        <v>1.5111599999999998</v>
      </c>
      <c r="E5" s="6">
        <f t="shared" si="1"/>
        <v>1.9141523996546712</v>
      </c>
      <c r="F5" s="6">
        <f t="shared" si="2"/>
        <v>0.16240287417943039</v>
      </c>
      <c r="G5" s="13">
        <f t="shared" ref="G5:G18" si="4">(A5/(($L$25*A5^2)+($L$26*A5)+$L$27))</f>
        <v>1.9706944463114924</v>
      </c>
      <c r="H5" s="6">
        <f t="shared" si="3"/>
        <v>0.21117190734681002</v>
      </c>
      <c r="K5" s="126" t="s">
        <v>14</v>
      </c>
      <c r="L5" s="126"/>
    </row>
    <row r="6" spans="1:16">
      <c r="A6">
        <v>23</v>
      </c>
      <c r="B6">
        <v>0.28100000000000003</v>
      </c>
      <c r="C6">
        <f t="shared" si="0"/>
        <v>2.7144600000000003</v>
      </c>
      <c r="E6" s="6">
        <f t="shared" si="1"/>
        <v>3.0225493747669963</v>
      </c>
      <c r="F6" s="6">
        <f t="shared" si="2"/>
        <v>9.4919062844318475E-2</v>
      </c>
      <c r="G6" s="13">
        <f t="shared" si="4"/>
        <v>3.0916218178075359</v>
      </c>
      <c r="H6" s="6">
        <f t="shared" si="3"/>
        <v>0.14225103681188464</v>
      </c>
    </row>
    <row r="7" spans="1:16">
      <c r="A7">
        <v>36</v>
      </c>
      <c r="B7">
        <v>0.28599999999999998</v>
      </c>
      <c r="C7">
        <f t="shared" si="0"/>
        <v>4.3243199999999993</v>
      </c>
      <c r="E7" s="6">
        <f t="shared" si="1"/>
        <v>4.4715843207014467</v>
      </c>
      <c r="F7" s="6">
        <f t="shared" si="2"/>
        <v>2.1686780151658768E-2</v>
      </c>
      <c r="G7" s="13">
        <f t="shared" si="4"/>
        <v>4.5372203257473496</v>
      </c>
      <c r="H7" s="6">
        <f t="shared" si="3"/>
        <v>4.5326548703327869E-2</v>
      </c>
      <c r="K7" t="s">
        <v>75</v>
      </c>
      <c r="L7">
        <v>17.384625037214235</v>
      </c>
      <c r="N7" s="86" t="s">
        <v>23</v>
      </c>
      <c r="O7" s="115">
        <f>L7*(L8/(L8+L9))*((L9/(L8+L9))^(L9/L8))</f>
        <v>14.741656663360875</v>
      </c>
    </row>
    <row r="8" spans="1:16">
      <c r="A8">
        <v>86</v>
      </c>
      <c r="B8">
        <v>0.247</v>
      </c>
      <c r="C8">
        <f t="shared" si="0"/>
        <v>8.92164</v>
      </c>
      <c r="E8" s="6">
        <f t="shared" si="1"/>
        <v>8.6783795538205766</v>
      </c>
      <c r="F8" s="6">
        <f t="shared" si="2"/>
        <v>5.917564467541217E-2</v>
      </c>
      <c r="G8" s="13">
        <f t="shared" si="4"/>
        <v>8.640205774066839</v>
      </c>
      <c r="H8" s="6">
        <f t="shared" si="3"/>
        <v>7.9205223526597535E-2</v>
      </c>
      <c r="K8" t="s">
        <v>25</v>
      </c>
      <c r="L8">
        <v>0.14555152165453134</v>
      </c>
      <c r="N8" s="87" t="s">
        <v>25</v>
      </c>
      <c r="O8" s="116">
        <f>L8</f>
        <v>0.14555152165453134</v>
      </c>
    </row>
    <row r="9" spans="1:16">
      <c r="A9">
        <v>157</v>
      </c>
      <c r="B9">
        <v>0.187</v>
      </c>
      <c r="C9">
        <f t="shared" si="0"/>
        <v>12.330779999999999</v>
      </c>
      <c r="E9" s="6">
        <f t="shared" si="1"/>
        <v>12.086035015858796</v>
      </c>
      <c r="F9" s="6">
        <f t="shared" si="2"/>
        <v>5.9900107262277728E-2</v>
      </c>
      <c r="G9" s="13">
        <f t="shared" si="4"/>
        <v>11.952058468680214</v>
      </c>
      <c r="H9" s="6">
        <f t="shared" si="3"/>
        <v>0.143429998285203</v>
      </c>
      <c r="K9" t="s">
        <v>27</v>
      </c>
      <c r="L9">
        <v>5.6160577847310066E-3</v>
      </c>
      <c r="N9" s="87" t="s">
        <v>29</v>
      </c>
      <c r="O9" s="116">
        <f>O7/O8</f>
        <v>101.28136412307947</v>
      </c>
    </row>
    <row r="10" spans="1:16">
      <c r="A10">
        <v>211</v>
      </c>
      <c r="B10">
        <v>0.151</v>
      </c>
      <c r="C10">
        <f t="shared" si="0"/>
        <v>13.38162</v>
      </c>
      <c r="E10" s="6">
        <f t="shared" si="1"/>
        <v>13.463593144490208</v>
      </c>
      <c r="F10" s="6">
        <f t="shared" si="2"/>
        <v>6.7195964176124971E-3</v>
      </c>
      <c r="G10" s="13">
        <f t="shared" si="4"/>
        <v>13.351160902647521</v>
      </c>
      <c r="H10" s="6">
        <f t="shared" si="3"/>
        <v>9.2775661152776502E-4</v>
      </c>
      <c r="O10" s="117"/>
      <c r="P10" s="21"/>
    </row>
    <row r="11" spans="1:16">
      <c r="A11">
        <v>365</v>
      </c>
      <c r="B11">
        <v>9.5000000000000001E-2</v>
      </c>
      <c r="C11">
        <f t="shared" si="0"/>
        <v>14.563499999999998</v>
      </c>
      <c r="E11" s="6">
        <f t="shared" si="1"/>
        <v>14.723590723698829</v>
      </c>
      <c r="F11" s="6">
        <f t="shared" si="2"/>
        <v>2.5629039814415427E-2</v>
      </c>
      <c r="G11" s="13">
        <f t="shared" si="4"/>
        <v>14.84455762957432</v>
      </c>
      <c r="H11" s="6">
        <f t="shared" si="3"/>
        <v>7.8993391141936875E-2</v>
      </c>
      <c r="K11" s="6" t="s">
        <v>74</v>
      </c>
      <c r="L11">
        <f>SUM(F:F)</f>
        <v>2.5127492413918979</v>
      </c>
      <c r="O11" s="117"/>
    </row>
    <row r="12" spans="1:16">
      <c r="A12">
        <v>577</v>
      </c>
      <c r="B12">
        <v>5.8999999999999997E-2</v>
      </c>
      <c r="C12">
        <f t="shared" si="0"/>
        <v>14.29806</v>
      </c>
      <c r="E12" s="6">
        <f t="shared" si="1"/>
        <v>14.313117680354656</v>
      </c>
      <c r="F12" s="6">
        <f t="shared" si="2"/>
        <v>2.2673373766301464E-4</v>
      </c>
      <c r="G12" s="13">
        <f t="shared" si="4"/>
        <v>14.597291446123265</v>
      </c>
      <c r="H12" s="6">
        <f t="shared" si="3"/>
        <v>8.9539458349020593E-2</v>
      </c>
      <c r="O12" s="117"/>
    </row>
    <row r="13" spans="1:16">
      <c r="A13">
        <v>902</v>
      </c>
      <c r="B13">
        <v>3.5999999999999997E-2</v>
      </c>
      <c r="C13">
        <f t="shared" si="0"/>
        <v>13.638239999999998</v>
      </c>
      <c r="E13" s="6">
        <f t="shared" si="1"/>
        <v>12.983407753209404</v>
      </c>
      <c r="F13" s="6">
        <f t="shared" si="2"/>
        <v>0.42880527143681746</v>
      </c>
      <c r="G13" s="13">
        <f t="shared" si="4"/>
        <v>13.103852836837136</v>
      </c>
      <c r="H13" s="6">
        <f t="shared" si="3"/>
        <v>0.28556964015325087</v>
      </c>
      <c r="O13" s="117"/>
    </row>
    <row r="14" spans="1:16">
      <c r="A14">
        <v>1394</v>
      </c>
      <c r="B14">
        <v>1.7999999999999999E-2</v>
      </c>
      <c r="C14">
        <f t="shared" si="0"/>
        <v>10.538639999999999</v>
      </c>
      <c r="E14" s="6">
        <f t="shared" si="1"/>
        <v>11.081195755442272</v>
      </c>
      <c r="F14" s="6">
        <f t="shared" si="2"/>
        <v>0.29436674776353489</v>
      </c>
      <c r="G14" s="13">
        <f t="shared" si="4"/>
        <v>10.894863442272317</v>
      </c>
      <c r="H14" s="6">
        <f t="shared" si="3"/>
        <v>0.12689514082433967</v>
      </c>
      <c r="O14" s="117"/>
    </row>
    <row r="15" spans="1:16">
      <c r="A15">
        <v>1731</v>
      </c>
      <c r="B15">
        <v>1.2999999999999999E-2</v>
      </c>
      <c r="C15">
        <f t="shared" si="0"/>
        <v>9.4512599999999996</v>
      </c>
      <c r="E15" s="6">
        <f t="shared" si="1"/>
        <v>9.9382470588287415</v>
      </c>
      <c r="F15" s="6">
        <f t="shared" si="2"/>
        <v>0.23715639546666856</v>
      </c>
      <c r="G15" s="13">
        <f t="shared" si="4"/>
        <v>9.6870013373098072</v>
      </c>
      <c r="H15" s="6">
        <f t="shared" si="3"/>
        <v>5.5573978116616497E-2</v>
      </c>
      <c r="O15" s="117"/>
    </row>
    <row r="16" spans="1:16">
      <c r="A16">
        <v>2158</v>
      </c>
      <c r="B16">
        <v>0.01</v>
      </c>
      <c r="C16">
        <f t="shared" si="0"/>
        <v>9.063600000000001</v>
      </c>
      <c r="E16" s="6">
        <f t="shared" si="1"/>
        <v>8.6577070283619779</v>
      </c>
      <c r="F16" s="6">
        <f t="shared" si="2"/>
        <v>0.16474910442514501</v>
      </c>
      <c r="G16" s="13">
        <f t="shared" si="4"/>
        <v>8.4641434221123344</v>
      </c>
      <c r="H16" s="6">
        <f t="shared" si="3"/>
        <v>0.35934818877279207</v>
      </c>
      <c r="O16" s="117"/>
    </row>
    <row r="17" spans="1:15">
      <c r="A17">
        <v>2664</v>
      </c>
      <c r="B17">
        <v>6.0000000000000001E-3</v>
      </c>
      <c r="C17">
        <f t="shared" si="0"/>
        <v>6.7132800000000001</v>
      </c>
      <c r="E17" s="6">
        <f t="shared" si="1"/>
        <v>7.3521143880790314</v>
      </c>
      <c r="F17" s="6">
        <f t="shared" si="2"/>
        <v>0.40810937539231029</v>
      </c>
      <c r="G17" s="13">
        <f t="shared" si="4"/>
        <v>7.345815174319104</v>
      </c>
      <c r="H17" s="6">
        <f t="shared" si="3"/>
        <v>0.40010074675089913</v>
      </c>
      <c r="O17" s="117"/>
    </row>
    <row r="18" spans="1:15">
      <c r="A18">
        <v>3250</v>
      </c>
      <c r="B18">
        <v>5.0000000000000001E-3</v>
      </c>
      <c r="C18">
        <f t="shared" si="0"/>
        <v>6.8250000000000002</v>
      </c>
      <c r="E18" s="6">
        <f t="shared" si="1"/>
        <v>6.0841204498539367</v>
      </c>
      <c r="F18" s="6">
        <f t="shared" si="2"/>
        <v>0.54890250782463335</v>
      </c>
      <c r="G18" s="13">
        <f t="shared" si="4"/>
        <v>6.3618097943752172</v>
      </c>
      <c r="H18" s="6">
        <f t="shared" si="3"/>
        <v>0.21454516658672873</v>
      </c>
      <c r="O18" s="117"/>
    </row>
    <row r="19" spans="1:15">
      <c r="E19" s="6"/>
      <c r="F19" s="6"/>
      <c r="G19" s="6"/>
      <c r="H19" s="6"/>
      <c r="O19" s="117"/>
    </row>
    <row r="20" spans="1:15">
      <c r="E20"/>
      <c r="F20"/>
      <c r="G20"/>
      <c r="H20"/>
      <c r="O20" s="117"/>
    </row>
    <row r="21" spans="1:15">
      <c r="E21"/>
      <c r="F21"/>
      <c r="G21"/>
      <c r="H21"/>
      <c r="O21" s="117"/>
    </row>
    <row r="22" spans="1:15">
      <c r="E22"/>
      <c r="F22"/>
      <c r="G22"/>
      <c r="H22"/>
      <c r="O22" s="117"/>
    </row>
    <row r="23" spans="1:15">
      <c r="E23"/>
      <c r="F23"/>
      <c r="G23"/>
      <c r="H23"/>
      <c r="K23" s="9" t="s">
        <v>15</v>
      </c>
      <c r="N23" s="86" t="s">
        <v>23</v>
      </c>
      <c r="O23" s="118">
        <f>1/(L26+2*SQRT(L25*L27))</f>
        <v>14.921873181435842</v>
      </c>
    </row>
    <row r="24" spans="1:15">
      <c r="E24"/>
      <c r="F24"/>
      <c r="G24"/>
      <c r="H24"/>
      <c r="N24" s="87" t="s">
        <v>25</v>
      </c>
      <c r="O24" s="119">
        <f>1/L27</f>
        <v>0.15164774938213901</v>
      </c>
    </row>
    <row r="25" spans="1:15">
      <c r="E25"/>
      <c r="F25"/>
      <c r="G25"/>
      <c r="H25"/>
      <c r="K25" t="s">
        <v>24</v>
      </c>
      <c r="L25" s="88">
        <v>3.6693451246021949E-5</v>
      </c>
      <c r="N25" s="87" t="s">
        <v>29</v>
      </c>
      <c r="O25" s="119">
        <f>L27/(L26+2*SQRT(L25*L27))</f>
        <v>98.398250170096716</v>
      </c>
    </row>
    <row r="26" spans="1:15">
      <c r="E26"/>
      <c r="F26"/>
      <c r="G26"/>
      <c r="H26"/>
      <c r="K26" t="s">
        <v>26</v>
      </c>
      <c r="L26">
        <v>3.5905265055966397E-2</v>
      </c>
    </row>
    <row r="27" spans="1:15">
      <c r="E27"/>
      <c r="F27"/>
      <c r="G27"/>
      <c r="H27"/>
      <c r="K27" t="s">
        <v>35</v>
      </c>
      <c r="L27">
        <v>6.5942290873047371</v>
      </c>
    </row>
    <row r="28" spans="1:15">
      <c r="E28"/>
      <c r="F28"/>
      <c r="G28"/>
      <c r="H28"/>
    </row>
    <row r="29" spans="1:15">
      <c r="E29"/>
      <c r="F29"/>
      <c r="G29"/>
      <c r="H29"/>
      <c r="K29" s="6" t="s">
        <v>74</v>
      </c>
      <c r="L29">
        <f>SUM(H:H)</f>
        <v>2.2328781819809351</v>
      </c>
    </row>
    <row r="30" spans="1:15">
      <c r="E30"/>
      <c r="F30"/>
      <c r="G30"/>
      <c r="H30"/>
    </row>
    <row r="31" spans="1:15">
      <c r="E31"/>
      <c r="F31"/>
      <c r="G31"/>
      <c r="H31"/>
    </row>
    <row r="32" spans="1:15">
      <c r="E32"/>
      <c r="F32"/>
      <c r="G32"/>
      <c r="H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</sheetData>
  <mergeCells count="3">
    <mergeCell ref="E2:F2"/>
    <mergeCell ref="G2:H2"/>
    <mergeCell ref="K5:L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B4C12-B87A-494A-AB8B-92B90798852F}">
  <sheetPr codeName="Tabelle14"/>
  <dimension ref="A1:BF73"/>
  <sheetViews>
    <sheetView topLeftCell="AK1" zoomScale="70" zoomScaleNormal="70" workbookViewId="0">
      <selection activeCell="BA25" sqref="BA25:BA27"/>
    </sheetView>
  </sheetViews>
  <sheetFormatPr baseColWidth="10" defaultColWidth="10.85546875" defaultRowHeight="15"/>
  <cols>
    <col min="1" max="1" width="11.42578125" customWidth="1"/>
    <col min="2" max="2" width="12.5703125" bestFit="1" customWidth="1"/>
    <col min="3" max="4" width="8" bestFit="1" customWidth="1"/>
    <col min="5" max="5" width="11" customWidth="1"/>
    <col min="6" max="6" width="8" bestFit="1" customWidth="1"/>
    <col min="7" max="7" width="9.7109375" customWidth="1"/>
    <col min="8" max="16" width="8" bestFit="1" customWidth="1"/>
    <col min="17" max="27" width="8" customWidth="1"/>
    <col min="28" max="28" width="10.85546875" style="17"/>
    <col min="29" max="29" width="10.85546875" style="18"/>
    <col min="30" max="30" width="10.85546875" style="17"/>
    <col min="31" max="31" width="10.85546875" style="18"/>
    <col min="32" max="32" width="10.85546875" style="17"/>
    <col min="33" max="33" width="10.85546875" style="18"/>
    <col min="34" max="34" width="10.85546875" style="17"/>
    <col min="35" max="35" width="10.85546875" style="18"/>
    <col min="36" max="36" width="10.85546875" style="4"/>
    <col min="37" max="37" width="10.85546875" style="5"/>
    <col min="38" max="38" width="10.85546875" style="4"/>
    <col min="39" max="39" width="10.85546875" style="5"/>
    <col min="40" max="40" width="10.85546875" style="4"/>
    <col min="41" max="41" width="10.85546875" style="5"/>
    <col min="42" max="42" width="10.85546875" style="4"/>
    <col min="43" max="43" width="12" style="5" bestFit="1" customWidth="1"/>
    <col min="48" max="48" width="27" customWidth="1"/>
    <col min="49" max="49" width="13" bestFit="1" customWidth="1"/>
    <col min="55" max="55" width="27" customWidth="1"/>
    <col min="56" max="56" width="13" bestFit="1" customWidth="1"/>
  </cols>
  <sheetData>
    <row r="1" spans="1:57" ht="15.75">
      <c r="A1" s="78" t="s">
        <v>63</v>
      </c>
      <c r="B1" s="80" t="s">
        <v>64</v>
      </c>
      <c r="C1" s="79"/>
      <c r="D1" s="78" t="s">
        <v>67</v>
      </c>
      <c r="E1" s="80" t="s">
        <v>68</v>
      </c>
      <c r="F1" s="79"/>
      <c r="G1" s="78" t="s">
        <v>71</v>
      </c>
      <c r="H1" s="80" t="s">
        <v>72</v>
      </c>
      <c r="AB1" s="131" t="s">
        <v>48</v>
      </c>
      <c r="AC1" s="131"/>
      <c r="AD1" s="131"/>
      <c r="AE1" s="131"/>
      <c r="AF1" s="131"/>
      <c r="AG1" s="131"/>
      <c r="AH1" s="131"/>
      <c r="AI1" s="131"/>
      <c r="AJ1" s="132" t="s">
        <v>49</v>
      </c>
      <c r="AK1" s="132"/>
      <c r="AL1" s="132"/>
      <c r="AM1" s="132"/>
      <c r="AN1" s="132"/>
      <c r="AO1" s="132"/>
      <c r="AP1" s="132"/>
      <c r="AQ1" s="132"/>
      <c r="AZ1" s="132" t="s">
        <v>49</v>
      </c>
      <c r="BA1" s="132"/>
      <c r="BB1" s="132"/>
      <c r="BC1" s="132"/>
      <c r="BD1" s="132"/>
      <c r="BE1" s="132"/>
    </row>
    <row r="2" spans="1:57">
      <c r="A2" s="81" t="s">
        <v>65</v>
      </c>
      <c r="B2" s="83" t="s">
        <v>66</v>
      </c>
      <c r="C2" s="82"/>
      <c r="D2" s="81" t="s">
        <v>69</v>
      </c>
      <c r="E2" s="83" t="s">
        <v>70</v>
      </c>
      <c r="F2" s="82"/>
      <c r="G2" s="81" t="s">
        <v>53</v>
      </c>
      <c r="H2" s="83" t="s">
        <v>73</v>
      </c>
      <c r="AB2" s="133" t="s">
        <v>14</v>
      </c>
      <c r="AC2" s="134"/>
      <c r="AD2" s="133" t="s">
        <v>15</v>
      </c>
      <c r="AE2" s="134"/>
      <c r="AF2" s="133" t="s">
        <v>16</v>
      </c>
      <c r="AG2" s="134"/>
      <c r="AH2" s="133" t="s">
        <v>17</v>
      </c>
      <c r="AI2" s="134"/>
      <c r="AJ2" s="127" t="s">
        <v>14</v>
      </c>
      <c r="AK2" s="128"/>
      <c r="AL2" s="127" t="s">
        <v>15</v>
      </c>
      <c r="AM2" s="128"/>
      <c r="AN2" s="127" t="s">
        <v>16</v>
      </c>
      <c r="AO2" s="128"/>
      <c r="AP2" s="127" t="s">
        <v>17</v>
      </c>
      <c r="AQ2" s="128"/>
    </row>
    <row r="3" spans="1:57">
      <c r="A3" t="s">
        <v>50</v>
      </c>
      <c r="B3" t="s">
        <v>51</v>
      </c>
      <c r="C3" t="s">
        <v>52</v>
      </c>
      <c r="D3" t="s">
        <v>53</v>
      </c>
      <c r="E3" t="s">
        <v>54</v>
      </c>
      <c r="F3" t="s">
        <v>55</v>
      </c>
      <c r="G3" t="s">
        <v>56</v>
      </c>
      <c r="H3" t="s">
        <v>0</v>
      </c>
      <c r="I3" t="s">
        <v>12</v>
      </c>
      <c r="J3" t="s">
        <v>1</v>
      </c>
      <c r="K3" t="s">
        <v>2</v>
      </c>
      <c r="L3" t="s">
        <v>57</v>
      </c>
      <c r="M3" t="s">
        <v>58</v>
      </c>
      <c r="N3" t="s">
        <v>59</v>
      </c>
      <c r="O3" t="s">
        <v>60</v>
      </c>
      <c r="P3" t="s">
        <v>3</v>
      </c>
      <c r="Q3" t="s">
        <v>13</v>
      </c>
      <c r="R3" t="s">
        <v>4</v>
      </c>
      <c r="S3" t="s">
        <v>5</v>
      </c>
      <c r="T3" t="s">
        <v>61</v>
      </c>
      <c r="U3" t="s">
        <v>11</v>
      </c>
      <c r="V3" t="s">
        <v>9</v>
      </c>
      <c r="W3" t="s">
        <v>10</v>
      </c>
      <c r="X3" t="s">
        <v>6</v>
      </c>
      <c r="Y3" t="s">
        <v>7</v>
      </c>
      <c r="Z3" t="s">
        <v>8</v>
      </c>
      <c r="AB3" s="15" t="s">
        <v>18</v>
      </c>
      <c r="AC3" s="16" t="s">
        <v>19</v>
      </c>
      <c r="AD3" s="15" t="s">
        <v>18</v>
      </c>
      <c r="AE3" s="16" t="s">
        <v>19</v>
      </c>
      <c r="AF3" s="15" t="s">
        <v>18</v>
      </c>
      <c r="AG3" s="16" t="s">
        <v>19</v>
      </c>
      <c r="AH3" s="15" t="s">
        <v>18</v>
      </c>
      <c r="AI3" s="16" t="s">
        <v>19</v>
      </c>
      <c r="AJ3" s="1" t="s">
        <v>18</v>
      </c>
      <c r="AK3" s="2" t="s">
        <v>19</v>
      </c>
      <c r="AL3" s="1" t="s">
        <v>18</v>
      </c>
      <c r="AM3" s="2" t="s">
        <v>19</v>
      </c>
      <c r="AN3" s="1" t="s">
        <v>18</v>
      </c>
      <c r="AO3" s="2" t="s">
        <v>19</v>
      </c>
      <c r="AP3" s="1" t="s">
        <v>18</v>
      </c>
      <c r="AQ3" s="2" t="s">
        <v>19</v>
      </c>
    </row>
    <row r="4" spans="1:57">
      <c r="A4" s="19"/>
      <c r="B4" s="20"/>
      <c r="F4">
        <v>0</v>
      </c>
      <c r="Q4">
        <v>6.0000000000000001E-3</v>
      </c>
      <c r="AB4" s="17" t="e">
        <f>$AT$7*(1-EXP((-$AT$8*F4)/$AT$7))*EXP((-$AT$9*F4)/$AT$7)</f>
        <v>#DIV/0!</v>
      </c>
      <c r="AC4" s="18" t="e">
        <f>(AB4-I4)^2</f>
        <v>#DIV/0!</v>
      </c>
      <c r="AD4" s="17" t="e">
        <f>(F4/(($AT$25*F4^2)+($AT$26*F4)+$AT$27))</f>
        <v>#DIV/0!</v>
      </c>
      <c r="AE4" s="18" t="e">
        <f>(AD4-I4)^2</f>
        <v>#DIV/0!</v>
      </c>
      <c r="AF4" s="17" t="e">
        <f>($AT$43*(1-EXP((-$AT$44*F4)/$AT$43))+$AT$45*F4)</f>
        <v>#DIV/0!</v>
      </c>
      <c r="AG4" s="85" t="e">
        <f>(AF4-I4)^2</f>
        <v>#DIV/0!</v>
      </c>
      <c r="AH4" s="17">
        <f>(($AT$61*F4/SQRT(1+($AT$62^2)*(F4^2)))*(1/SQRT(1+($AT$63^2)*(F4^2)))^$AT$64)</f>
        <v>0</v>
      </c>
      <c r="AI4" s="18">
        <f>(AH4-I4)^2</f>
        <v>0</v>
      </c>
      <c r="AJ4" s="4">
        <f>$BA$7*(1-EXP((-$BA$8*$F4)/$BA$7))*EXP((-$BA$9*$F4)/$BA$7)</f>
        <v>0</v>
      </c>
      <c r="AK4" s="5">
        <f>(AJ4-Q4)^2</f>
        <v>3.6000000000000001E-5</v>
      </c>
      <c r="AL4" s="4">
        <f>(F4/(($BA$25*F4^2)+($BA$26*F4)+$BA$27))</f>
        <v>0</v>
      </c>
      <c r="AM4" s="5">
        <f>(AL4-Q4)^2</f>
        <v>3.6000000000000001E-5</v>
      </c>
      <c r="AN4" s="4">
        <f>($BA$43*(1-EXP((-$BA$44*F4)/$BA$43))+$BA$45*F4)</f>
        <v>0</v>
      </c>
      <c r="AO4" s="5">
        <f>(AN4-Q4)^2</f>
        <v>3.6000000000000001E-5</v>
      </c>
      <c r="AP4" s="4">
        <f>(($BA$61*F4/SQRT(1+($BA$62^2)*(F4^2)))*(1/SQRT(1+($BA$63^2)*(F4^2)))^$BA$64)</f>
        <v>0</v>
      </c>
      <c r="AQ4" s="5">
        <f>(AP4-Q4)^2</f>
        <v>3.6000000000000001E-5</v>
      </c>
      <c r="BB4" s="3"/>
    </row>
    <row r="5" spans="1:57">
      <c r="A5" s="19"/>
      <c r="B5" s="20"/>
      <c r="F5">
        <v>40</v>
      </c>
      <c r="I5" s="84"/>
      <c r="Q5" s="84">
        <v>0.248</v>
      </c>
      <c r="AB5" s="17" t="e">
        <f>$AT$7*(1-EXP((-$AT$8*F5)/$AT$7))*EXP((-$AT$9*F5)/$AT$7)</f>
        <v>#DIV/0!</v>
      </c>
      <c r="AC5" s="85" t="e">
        <f>(AB5-I5)^2</f>
        <v>#DIV/0!</v>
      </c>
      <c r="AD5" s="17" t="e">
        <f>(F5/(($AT$25*F5^2)+($AT$26*F5)+$AT$27))</f>
        <v>#DIV/0!</v>
      </c>
      <c r="AE5" s="85" t="e">
        <f>(AD5-I5)^2</f>
        <v>#DIV/0!</v>
      </c>
      <c r="AF5" s="17" t="e">
        <f>($AT$43*(1-EXP((-$AT$44*F5)/$AT$43))+$AT$45*F5)</f>
        <v>#DIV/0!</v>
      </c>
      <c r="AG5" s="85" t="e">
        <f>(AF5-I5)^2</f>
        <v>#DIV/0!</v>
      </c>
      <c r="AH5" s="17">
        <f>(($AT$61*F5/SQRT(1+($AT$62^2)*(F5^2)))*(1/SQRT(1+($AT$63^2)*(F5^2)))^$AT$64)</f>
        <v>0</v>
      </c>
      <c r="AI5" s="85">
        <f>(AH5-I5)^2</f>
        <v>0</v>
      </c>
      <c r="AJ5" s="4">
        <f>$BA$7*(1-EXP((-$BA$8*$F5)/$BA$7))*EXP((-$BA$9*$F5)/$BA$7)</f>
        <v>6.813666307159842</v>
      </c>
      <c r="AK5" s="5">
        <f>(AJ5-Q5)^2</f>
        <v>43.107974056973951</v>
      </c>
      <c r="AL5" s="4">
        <f>(F5/(($BA$25*F5^2)+($BA$26*F5)+$BA$27))</f>
        <v>7.656967840735069</v>
      </c>
      <c r="AM5" s="5">
        <f>(AL5-Q5)^2</f>
        <v>54.892804465046467</v>
      </c>
      <c r="AN5" s="4">
        <f>($BA$43*(1-EXP((-$BA$44*F5)/$BA$43))+$BA$45*F5)</f>
        <v>6.857781953681739</v>
      </c>
      <c r="AO5" s="5">
        <f>(AN5-Q5)^2</f>
        <v>43.689217475216786</v>
      </c>
      <c r="AP5" s="4">
        <f>(($BA$61*F5/SQRT(1+($BA$62^2)*(F5^2)))*(1/SQRT(1+($BA$63^2)*(F5^2)))^$BA$64)</f>
        <v>6.1826834055454656</v>
      </c>
      <c r="AQ5" s="5">
        <f>(AP5-Q5)^2</f>
        <v>35.220467124056725</v>
      </c>
      <c r="AZ5" s="126" t="s">
        <v>20</v>
      </c>
      <c r="BA5" s="126"/>
      <c r="BB5" t="s">
        <v>21</v>
      </c>
    </row>
    <row r="6" spans="1:57">
      <c r="A6" s="19"/>
      <c r="B6" s="20"/>
      <c r="F6">
        <v>49</v>
      </c>
      <c r="I6" s="84"/>
      <c r="Q6" s="84">
        <v>0.24099999999999999</v>
      </c>
      <c r="AB6" s="17" t="e">
        <f t="shared" ref="AB6:AB19" si="0">$AT$7*(1-EXP((-$AT$8*F6)/$AT$7))*EXP((-$AT$9*F6)/$AT$7)</f>
        <v>#DIV/0!</v>
      </c>
      <c r="AC6" s="18" t="e">
        <f t="shared" ref="AC6:AC19" si="1">(AB6-I6)^2</f>
        <v>#DIV/0!</v>
      </c>
      <c r="AD6" s="17" t="e">
        <f t="shared" ref="AD6:AD19" si="2">(F6/(($AT$25*F6^2)+($AT$26*F6)+$AT$27))</f>
        <v>#DIV/0!</v>
      </c>
      <c r="AE6" s="18" t="e">
        <f t="shared" ref="AE6:AE19" si="3">(AD6-I6)^2</f>
        <v>#DIV/0!</v>
      </c>
      <c r="AF6" s="17" t="e">
        <f t="shared" ref="AF6:AF19" si="4">($AT$43*(1-EXP((-$AT$44*F6)/$AT$43))+$AT$45*F6)</f>
        <v>#DIV/0!</v>
      </c>
      <c r="AG6" s="85" t="e">
        <f t="shared" ref="AG6:AG19" si="5">(AF6-I6)^2</f>
        <v>#DIV/0!</v>
      </c>
      <c r="AH6" s="17">
        <f t="shared" ref="AH6:AH19" si="6">(($AT$61*F6/SQRT(1+($AT$62^2)*(F6^2)))*(1/SQRT(1+($AT$63^2)*(F6^2)))^$AT$64)</f>
        <v>0</v>
      </c>
      <c r="AI6" s="18">
        <f t="shared" ref="AI6:AI19" si="7">(AH6-I6)^2</f>
        <v>0</v>
      </c>
      <c r="AJ6" s="4">
        <f t="shared" ref="AJ6:AJ19" si="8">$BA$7*(1-EXP((-$BA$8*$F6)/$BA$7))*EXP((-$BA$9*$F6)/$BA$7)</f>
        <v>8.2277811122296374</v>
      </c>
      <c r="AK6" s="5">
        <f t="shared" ref="AK6:AK19" si="9">(AJ6-Q6)^2</f>
        <v>63.788672534668088</v>
      </c>
      <c r="AL6" s="4">
        <f t="shared" ref="AL6:AL19" si="10">(F6/(($BA$25*F6^2)+($BA$26*F6)+$BA$27))</f>
        <v>9.2591892729457825</v>
      </c>
      <c r="AM6" s="5">
        <f t="shared" ref="AM6:AM19" si="11">(AL6-Q6)^2</f>
        <v>81.327737762674388</v>
      </c>
      <c r="AN6" s="4">
        <f t="shared" ref="AN6:AN19" si="12">($BA$43*(1-EXP((-$BA$44*F6)/$BA$43))+$BA$45*F6)</f>
        <v>8.2775690723302606</v>
      </c>
      <c r="AO6" s="5">
        <f t="shared" ref="AO6:AO19" si="13">(AN6-Q6)^2</f>
        <v>64.58644245433527</v>
      </c>
      <c r="AP6" s="4">
        <f t="shared" ref="AP6:AP19" si="14">(($BA$61*F6/SQRT(1+($BA$62^2)*(F6^2)))*(1/SQRT(1+($BA$63^2)*(F6^2)))^$BA$64)</f>
        <v>7.5485713509868324</v>
      </c>
      <c r="AQ6" s="5">
        <f t="shared" ref="AQ6:AQ19" si="15">(AP6-Q6)^2</f>
        <v>53.400599049763521</v>
      </c>
    </row>
    <row r="7" spans="1:57">
      <c r="A7" s="19"/>
      <c r="B7" s="20"/>
      <c r="F7">
        <v>62</v>
      </c>
      <c r="I7" s="84"/>
      <c r="Q7" s="84">
        <v>0.224</v>
      </c>
      <c r="AB7" s="17" t="e">
        <f t="shared" si="0"/>
        <v>#DIV/0!</v>
      </c>
      <c r="AC7" s="85" t="e">
        <f t="shared" si="1"/>
        <v>#DIV/0!</v>
      </c>
      <c r="AD7" s="17" t="e">
        <f t="shared" si="2"/>
        <v>#DIV/0!</v>
      </c>
      <c r="AE7" s="18" t="e">
        <f t="shared" si="3"/>
        <v>#DIV/0!</v>
      </c>
      <c r="AF7" s="17" t="e">
        <f t="shared" si="4"/>
        <v>#DIV/0!</v>
      </c>
      <c r="AG7" s="85" t="e">
        <f t="shared" si="5"/>
        <v>#DIV/0!</v>
      </c>
      <c r="AH7" s="17">
        <f t="shared" si="6"/>
        <v>0</v>
      </c>
      <c r="AI7" s="85">
        <f t="shared" si="7"/>
        <v>0</v>
      </c>
      <c r="AJ7" s="4">
        <f t="shared" si="8"/>
        <v>10.197713257430857</v>
      </c>
      <c r="AK7" s="5">
        <f t="shared" si="9"/>
        <v>99.47495614145204</v>
      </c>
      <c r="AL7" s="4">
        <f t="shared" si="10"/>
        <v>11.477740588252717</v>
      </c>
      <c r="AM7" s="5">
        <f t="shared" si="11"/>
        <v>126.6466772276866</v>
      </c>
      <c r="AN7" s="4">
        <f t="shared" si="12"/>
        <v>10.25338059199925</v>
      </c>
      <c r="AO7" s="5">
        <f t="shared" si="13"/>
        <v>100.58847505917122</v>
      </c>
      <c r="AP7" s="4">
        <f t="shared" si="14"/>
        <v>9.4945385731326901</v>
      </c>
      <c r="AQ7" s="5">
        <f t="shared" si="15"/>
        <v>85.942885435941093</v>
      </c>
      <c r="AZ7" t="s">
        <v>22</v>
      </c>
      <c r="BA7">
        <v>76.131060521409623</v>
      </c>
      <c r="BC7" s="23" t="s">
        <v>23</v>
      </c>
      <c r="BD7" s="31">
        <f>BA7*(BA8/(BA8+BA9))*((BA9/(BA8+BA9))^(BA9/BA8))</f>
        <v>46.225633419381658</v>
      </c>
    </row>
    <row r="8" spans="1:57">
      <c r="A8" s="19"/>
      <c r="B8" s="20"/>
      <c r="F8">
        <v>86</v>
      </c>
      <c r="I8" s="84"/>
      <c r="Q8" s="84">
        <v>0.22</v>
      </c>
      <c r="AB8" s="17" t="e">
        <f t="shared" si="0"/>
        <v>#DIV/0!</v>
      </c>
      <c r="AC8" s="18" t="e">
        <f t="shared" si="1"/>
        <v>#DIV/0!</v>
      </c>
      <c r="AD8" s="17" t="e">
        <f t="shared" si="2"/>
        <v>#DIV/0!</v>
      </c>
      <c r="AE8" s="18" t="e">
        <f t="shared" si="3"/>
        <v>#DIV/0!</v>
      </c>
      <c r="AF8" s="17" t="e">
        <f t="shared" si="4"/>
        <v>#DIV/0!</v>
      </c>
      <c r="AG8" s="85" t="e">
        <f t="shared" si="5"/>
        <v>#DIV/0!</v>
      </c>
      <c r="AH8" s="17">
        <f t="shared" si="6"/>
        <v>0</v>
      </c>
      <c r="AI8" s="18">
        <f t="shared" si="7"/>
        <v>0</v>
      </c>
      <c r="AJ8" s="4">
        <f t="shared" si="8"/>
        <v>13.61854439293451</v>
      </c>
      <c r="AK8" s="5">
        <f t="shared" si="9"/>
        <v>179.52099184943677</v>
      </c>
      <c r="AL8" s="4">
        <f t="shared" si="10"/>
        <v>15.24865953644075</v>
      </c>
      <c r="AM8" s="5">
        <f t="shared" si="11"/>
        <v>225.86060746225147</v>
      </c>
      <c r="AN8" s="4">
        <f t="shared" si="12"/>
        <v>13.678791790550195</v>
      </c>
      <c r="AO8" s="5">
        <f t="shared" si="13"/>
        <v>181.13907646138131</v>
      </c>
      <c r="AP8" s="4">
        <f t="shared" si="14"/>
        <v>12.981779626013855</v>
      </c>
      <c r="AQ8" s="5">
        <f t="shared" si="15"/>
        <v>162.86301922294231</v>
      </c>
      <c r="AZ8" t="s">
        <v>24</v>
      </c>
      <c r="BA8">
        <v>0.18164789518096267</v>
      </c>
      <c r="BC8" s="24" t="s">
        <v>25</v>
      </c>
      <c r="BD8" s="33">
        <f>BA8</f>
        <v>0.18164789518096267</v>
      </c>
    </row>
    <row r="9" spans="1:57">
      <c r="A9" s="19"/>
      <c r="B9" s="20"/>
      <c r="F9">
        <v>112</v>
      </c>
      <c r="I9" s="84"/>
      <c r="Q9" s="84">
        <v>0.219</v>
      </c>
      <c r="AB9" s="17" t="e">
        <f t="shared" si="0"/>
        <v>#DIV/0!</v>
      </c>
      <c r="AC9" s="85" t="e">
        <f t="shared" si="1"/>
        <v>#DIV/0!</v>
      </c>
      <c r="AD9" s="17" t="e">
        <f t="shared" si="2"/>
        <v>#DIV/0!</v>
      </c>
      <c r="AE9" s="18" t="e">
        <f t="shared" si="3"/>
        <v>#DIV/0!</v>
      </c>
      <c r="AF9" s="17" t="e">
        <f t="shared" si="4"/>
        <v>#DIV/0!</v>
      </c>
      <c r="AG9" s="85" t="e">
        <f t="shared" si="5"/>
        <v>#DIV/0!</v>
      </c>
      <c r="AH9" s="17">
        <f t="shared" si="6"/>
        <v>0</v>
      </c>
      <c r="AI9" s="85">
        <f t="shared" si="7"/>
        <v>0</v>
      </c>
      <c r="AJ9" s="4">
        <f t="shared" si="8"/>
        <v>17.026751157643091</v>
      </c>
      <c r="AK9" s="5">
        <f t="shared" si="9"/>
        <v>282.50049897725262</v>
      </c>
      <c r="AL9" s="4">
        <f t="shared" si="10"/>
        <v>18.824288710805142</v>
      </c>
      <c r="AM9" s="5">
        <f t="shared" si="11"/>
        <v>346.15676801241324</v>
      </c>
      <c r="AN9" s="4">
        <f t="shared" si="12"/>
        <v>17.08442720375</v>
      </c>
      <c r="AO9" s="5">
        <f t="shared" si="13"/>
        <v>284.44263476499049</v>
      </c>
      <c r="AP9" s="4">
        <f t="shared" si="14"/>
        <v>16.568728454065305</v>
      </c>
      <c r="AQ9" s="5">
        <f t="shared" si="15"/>
        <v>267.31362052167259</v>
      </c>
      <c r="AZ9" t="s">
        <v>26</v>
      </c>
      <c r="BA9">
        <v>3.2210509540433398E-2</v>
      </c>
      <c r="BC9" s="24" t="s">
        <v>27</v>
      </c>
      <c r="BD9" s="22">
        <f>BA9</f>
        <v>3.2210509540433398E-2</v>
      </c>
    </row>
    <row r="10" spans="1:57">
      <c r="A10" s="19"/>
      <c r="B10" s="20"/>
      <c r="F10">
        <v>141</v>
      </c>
      <c r="I10" s="84"/>
      <c r="Q10" s="84">
        <v>0.22700000000000001</v>
      </c>
      <c r="AB10" s="17" t="e">
        <f t="shared" si="0"/>
        <v>#DIV/0!</v>
      </c>
      <c r="AC10" s="18" t="e">
        <f t="shared" si="1"/>
        <v>#DIV/0!</v>
      </c>
      <c r="AD10" s="17" t="e">
        <f t="shared" si="2"/>
        <v>#DIV/0!</v>
      </c>
      <c r="AE10" s="18" t="e">
        <f t="shared" si="3"/>
        <v>#DIV/0!</v>
      </c>
      <c r="AF10" s="17" t="e">
        <f t="shared" si="4"/>
        <v>#DIV/0!</v>
      </c>
      <c r="AG10" s="85" t="e">
        <f t="shared" si="5"/>
        <v>#DIV/0!</v>
      </c>
      <c r="AH10" s="17">
        <f t="shared" si="6"/>
        <v>0</v>
      </c>
      <c r="AI10" s="18">
        <f t="shared" si="7"/>
        <v>0</v>
      </c>
      <c r="AJ10" s="4">
        <f t="shared" si="8"/>
        <v>20.489609317881186</v>
      </c>
      <c r="AK10" s="5">
        <f t="shared" si="9"/>
        <v>410.57333636908544</v>
      </c>
      <c r="AL10" s="4">
        <f t="shared" si="10"/>
        <v>22.172460860102781</v>
      </c>
      <c r="AM10" s="5">
        <f t="shared" si="11"/>
        <v>481.60325236230307</v>
      </c>
      <c r="AN10" s="4">
        <f t="shared" si="12"/>
        <v>20.537404449148593</v>
      </c>
      <c r="AO10" s="5">
        <f t="shared" si="13"/>
        <v>412.5125288879949</v>
      </c>
      <c r="AP10" s="4">
        <f t="shared" si="14"/>
        <v>20.292860656942047</v>
      </c>
      <c r="AQ10" s="5">
        <f t="shared" si="15"/>
        <v>402.63876390381472</v>
      </c>
      <c r="BC10" s="25" t="s">
        <v>28</v>
      </c>
      <c r="BD10" s="56">
        <v>10</v>
      </c>
      <c r="BE10" s="21">
        <f>BA7*(1-EXP((-BA8*BD10)/BA7))*EXP((-BA9*BD10)/BA7)</f>
        <v>1.7874013953714982</v>
      </c>
    </row>
    <row r="11" spans="1:57">
      <c r="A11" s="19"/>
      <c r="B11" s="20"/>
      <c r="F11">
        <v>183</v>
      </c>
      <c r="I11" s="84"/>
      <c r="Q11" s="84">
        <v>0.22700000000000001</v>
      </c>
      <c r="AB11" s="17" t="e">
        <f t="shared" si="0"/>
        <v>#DIV/0!</v>
      </c>
      <c r="AC11" s="85" t="e">
        <f t="shared" si="1"/>
        <v>#DIV/0!</v>
      </c>
      <c r="AD11" s="17" t="e">
        <f t="shared" si="2"/>
        <v>#DIV/0!</v>
      </c>
      <c r="AE11" s="18" t="e">
        <f t="shared" si="3"/>
        <v>#DIV/0!</v>
      </c>
      <c r="AF11" s="17" t="e">
        <f t="shared" si="4"/>
        <v>#DIV/0!</v>
      </c>
      <c r="AG11" s="85" t="e">
        <f t="shared" si="5"/>
        <v>#DIV/0!</v>
      </c>
      <c r="AH11" s="17">
        <f t="shared" si="6"/>
        <v>0</v>
      </c>
      <c r="AI11" s="85">
        <f t="shared" si="7"/>
        <v>0</v>
      </c>
      <c r="AJ11" s="4">
        <f t="shared" si="8"/>
        <v>24.927914468551897</v>
      </c>
      <c r="AK11" s="5">
        <f t="shared" si="9"/>
        <v>610.13517558271644</v>
      </c>
      <c r="AL11" s="4">
        <f t="shared" si="10"/>
        <v>25.878306908235242</v>
      </c>
      <c r="AM11" s="5">
        <f t="shared" si="11"/>
        <v>657.98954610047701</v>
      </c>
      <c r="AN11" s="4">
        <f t="shared" si="12"/>
        <v>24.95256925232005</v>
      </c>
      <c r="AO11" s="5">
        <f t="shared" si="13"/>
        <v>611.35377485127469</v>
      </c>
      <c r="AP11" s="4">
        <f t="shared" si="14"/>
        <v>25.113949124600389</v>
      </c>
      <c r="AQ11" s="5">
        <f t="shared" si="15"/>
        <v>619.36023673044804</v>
      </c>
      <c r="AZ11" s="6" t="s">
        <v>19</v>
      </c>
      <c r="BA11" s="42">
        <f>SUM(AK:AK)</f>
        <v>14882.097106983072</v>
      </c>
      <c r="BC11" s="24" t="s">
        <v>29</v>
      </c>
      <c r="BD11" s="33">
        <f>BD7/BD8</f>
        <v>254.47932316160561</v>
      </c>
    </row>
    <row r="12" spans="1:57">
      <c r="A12" s="19"/>
      <c r="B12" s="20"/>
      <c r="F12">
        <v>237</v>
      </c>
      <c r="I12" s="84"/>
      <c r="Q12" s="84">
        <v>0.23699999999999999</v>
      </c>
      <c r="AB12" s="17" t="e">
        <f t="shared" si="0"/>
        <v>#DIV/0!</v>
      </c>
      <c r="AC12" s="18" t="e">
        <f t="shared" si="1"/>
        <v>#DIV/0!</v>
      </c>
      <c r="AD12" s="17" t="e">
        <f t="shared" si="2"/>
        <v>#DIV/0!</v>
      </c>
      <c r="AE12" s="18" t="e">
        <f t="shared" si="3"/>
        <v>#DIV/0!</v>
      </c>
      <c r="AF12" s="17" t="e">
        <f t="shared" si="4"/>
        <v>#DIV/0!</v>
      </c>
      <c r="AG12" s="85" t="e">
        <f t="shared" si="5"/>
        <v>#DIV/0!</v>
      </c>
      <c r="AH12" s="17">
        <f t="shared" si="6"/>
        <v>0</v>
      </c>
      <c r="AI12" s="18">
        <f t="shared" si="7"/>
        <v>0</v>
      </c>
      <c r="AJ12" s="4">
        <f t="shared" si="8"/>
        <v>29.744688894241559</v>
      </c>
      <c r="AK12" s="5">
        <f t="shared" si="9"/>
        <v>870.70370387934679</v>
      </c>
      <c r="AL12" s="4">
        <f t="shared" si="10"/>
        <v>28.920920197784923</v>
      </c>
      <c r="AM12" s="5">
        <f t="shared" si="11"/>
        <v>822.76727791289397</v>
      </c>
      <c r="AN12" s="4">
        <f t="shared" si="12"/>
        <v>29.731831151386675</v>
      </c>
      <c r="AO12" s="5">
        <f t="shared" si="13"/>
        <v>869.94506464880988</v>
      </c>
      <c r="AP12" s="4">
        <f t="shared" si="14"/>
        <v>30.294277923561726</v>
      </c>
      <c r="AQ12" s="5">
        <f t="shared" si="15"/>
        <v>903.43995617423116</v>
      </c>
      <c r="BC12" s="26" t="s">
        <v>30</v>
      </c>
      <c r="BD12" s="33">
        <f>BA7</f>
        <v>76.131060521409623</v>
      </c>
    </row>
    <row r="13" spans="1:57">
      <c r="A13" s="19"/>
      <c r="B13" s="20"/>
      <c r="F13">
        <v>306</v>
      </c>
      <c r="I13" s="84"/>
      <c r="Q13" s="84">
        <v>0.26600000000000001</v>
      </c>
      <c r="AB13" s="17" t="e">
        <f t="shared" si="0"/>
        <v>#DIV/0!</v>
      </c>
      <c r="AC13" s="85" t="e">
        <f t="shared" si="1"/>
        <v>#DIV/0!</v>
      </c>
      <c r="AD13" s="17" t="e">
        <f t="shared" si="2"/>
        <v>#DIV/0!</v>
      </c>
      <c r="AE13" s="18" t="e">
        <f t="shared" si="3"/>
        <v>#DIV/0!</v>
      </c>
      <c r="AF13" s="17" t="e">
        <f t="shared" si="4"/>
        <v>#DIV/0!</v>
      </c>
      <c r="AG13" s="85" t="e">
        <f t="shared" si="5"/>
        <v>#DIV/0!</v>
      </c>
      <c r="AH13" s="17">
        <f t="shared" si="6"/>
        <v>0</v>
      </c>
      <c r="AI13" s="85">
        <f t="shared" si="7"/>
        <v>0</v>
      </c>
      <c r="AJ13" s="4">
        <f t="shared" si="8"/>
        <v>34.656676708321086</v>
      </c>
      <c r="AK13" s="5">
        <f t="shared" si="9"/>
        <v>1182.7186444562585</v>
      </c>
      <c r="AL13" s="4">
        <f t="shared" si="10"/>
        <v>30.693800253574924</v>
      </c>
      <c r="AM13" s="5">
        <f t="shared" si="11"/>
        <v>925.85102827145408</v>
      </c>
      <c r="AN13" s="4">
        <f t="shared" si="12"/>
        <v>34.595036441333207</v>
      </c>
      <c r="AO13" s="5">
        <f t="shared" si="13"/>
        <v>1178.4827429903835</v>
      </c>
      <c r="AP13" s="4">
        <f t="shared" si="14"/>
        <v>35.380946046885931</v>
      </c>
      <c r="AQ13" s="5">
        <f t="shared" si="15"/>
        <v>1233.0594358757101</v>
      </c>
      <c r="AZ13" s="43" t="s">
        <v>31</v>
      </c>
      <c r="BA13" s="44" t="s">
        <v>32</v>
      </c>
      <c r="BC13" s="27" t="s">
        <v>33</v>
      </c>
      <c r="BD13" s="41">
        <f>BA7/BA9</f>
        <v>2363.5472275234697</v>
      </c>
    </row>
    <row r="14" spans="1:57">
      <c r="A14" s="19"/>
      <c r="B14" s="20"/>
      <c r="F14">
        <v>391</v>
      </c>
      <c r="I14" s="84"/>
      <c r="Q14" s="84">
        <v>0.29899999999999999</v>
      </c>
      <c r="AB14" s="17" t="e">
        <f t="shared" si="0"/>
        <v>#DIV/0!</v>
      </c>
      <c r="AC14" s="18" t="e">
        <f t="shared" si="1"/>
        <v>#DIV/0!</v>
      </c>
      <c r="AD14" s="17" t="e">
        <f t="shared" si="2"/>
        <v>#DIV/0!</v>
      </c>
      <c r="AE14" s="18" t="e">
        <f t="shared" si="3"/>
        <v>#DIV/0!</v>
      </c>
      <c r="AF14" s="17" t="e">
        <f t="shared" si="4"/>
        <v>#DIV/0!</v>
      </c>
      <c r="AG14" s="85" t="e">
        <f t="shared" si="5"/>
        <v>#DIV/0!</v>
      </c>
      <c r="AH14" s="17">
        <f t="shared" si="6"/>
        <v>0</v>
      </c>
      <c r="AI14" s="18">
        <f t="shared" si="7"/>
        <v>0</v>
      </c>
      <c r="AJ14" s="4">
        <f t="shared" si="8"/>
        <v>39.139691581279521</v>
      </c>
      <c r="AK14" s="5">
        <f t="shared" si="9"/>
        <v>1508.5993225120778</v>
      </c>
      <c r="AL14" s="4">
        <f t="shared" si="10"/>
        <v>30.837810468135313</v>
      </c>
      <c r="AM14" s="5">
        <f t="shared" si="11"/>
        <v>932.61894480869103</v>
      </c>
      <c r="AN14" s="4">
        <f t="shared" si="12"/>
        <v>39.030926940562381</v>
      </c>
      <c r="AO14" s="5">
        <f t="shared" si="13"/>
        <v>1500.162164529062</v>
      </c>
      <c r="AP14" s="4">
        <f t="shared" si="14"/>
        <v>39.734411983418944</v>
      </c>
      <c r="AQ14" s="5">
        <f t="shared" si="15"/>
        <v>1555.1517183019826</v>
      </c>
      <c r="AZ14" s="50">
        <f>MIN($BA$11)</f>
        <v>14882.097106983072</v>
      </c>
      <c r="BA14" s="51">
        <f>MAX($BE$10)</f>
        <v>1.7874013953714982</v>
      </c>
      <c r="BC14" s="7"/>
      <c r="BD14" s="8"/>
    </row>
    <row r="15" spans="1:57">
      <c r="A15" s="19"/>
      <c r="B15" s="20"/>
      <c r="F15">
        <v>603</v>
      </c>
      <c r="I15" s="84"/>
      <c r="Q15" s="84">
        <v>0.35799999999999998</v>
      </c>
      <c r="AB15" s="17" t="e">
        <f t="shared" si="0"/>
        <v>#DIV/0!</v>
      </c>
      <c r="AC15" s="85" t="e">
        <f t="shared" si="1"/>
        <v>#DIV/0!</v>
      </c>
      <c r="AD15" s="17" t="e">
        <f t="shared" si="2"/>
        <v>#DIV/0!</v>
      </c>
      <c r="AE15" s="18" t="e">
        <f t="shared" si="3"/>
        <v>#DIV/0!</v>
      </c>
      <c r="AF15" s="17" t="e">
        <f t="shared" si="4"/>
        <v>#DIV/0!</v>
      </c>
      <c r="AG15" s="85" t="e">
        <f t="shared" si="5"/>
        <v>#DIV/0!</v>
      </c>
      <c r="AH15" s="17">
        <f t="shared" si="6"/>
        <v>0</v>
      </c>
      <c r="AI15" s="85">
        <f t="shared" si="7"/>
        <v>0</v>
      </c>
      <c r="AJ15" s="4">
        <f t="shared" si="8"/>
        <v>44.994524527494846</v>
      </c>
      <c r="AK15" s="5">
        <f t="shared" si="9"/>
        <v>1992.4193218936493</v>
      </c>
      <c r="AL15" s="4">
        <f t="shared" si="10"/>
        <v>27.463568642525445</v>
      </c>
      <c r="AM15" s="5">
        <f t="shared" si="11"/>
        <v>734.71185143465868</v>
      </c>
      <c r="AN15" s="4">
        <f t="shared" si="12"/>
        <v>44.871474129521104</v>
      </c>
      <c r="AO15" s="5">
        <f t="shared" si="13"/>
        <v>1981.449379079545</v>
      </c>
      <c r="AP15" s="4">
        <f t="shared" si="14"/>
        <v>44.859497825188605</v>
      </c>
      <c r="AQ15" s="5">
        <f t="shared" si="15"/>
        <v>1980.3833086852665</v>
      </c>
      <c r="AZ15" s="52">
        <f>COUNT($BA$7:$BA$9)</f>
        <v>3</v>
      </c>
      <c r="BA15" s="53">
        <f>COUNT($BD$10)</f>
        <v>1</v>
      </c>
    </row>
    <row r="16" spans="1:57">
      <c r="F16">
        <v>756</v>
      </c>
      <c r="I16" s="84"/>
      <c r="Q16" s="84">
        <v>0.378</v>
      </c>
      <c r="AB16" s="17" t="e">
        <f t="shared" si="0"/>
        <v>#DIV/0!</v>
      </c>
      <c r="AC16" s="18" t="e">
        <f t="shared" si="1"/>
        <v>#DIV/0!</v>
      </c>
      <c r="AD16" s="17" t="e">
        <f t="shared" si="2"/>
        <v>#DIV/0!</v>
      </c>
      <c r="AE16" s="18" t="e">
        <f t="shared" si="3"/>
        <v>#DIV/0!</v>
      </c>
      <c r="AF16" s="17" t="e">
        <f t="shared" si="4"/>
        <v>#DIV/0!</v>
      </c>
      <c r="AG16" s="85" t="e">
        <f t="shared" si="5"/>
        <v>#DIV/0!</v>
      </c>
      <c r="AH16" s="17">
        <f t="shared" si="6"/>
        <v>0</v>
      </c>
      <c r="AI16" s="18">
        <f t="shared" si="7"/>
        <v>0</v>
      </c>
      <c r="AJ16" s="4">
        <f t="shared" si="8"/>
        <v>46.185640006825018</v>
      </c>
      <c r="AK16" s="5">
        <f t="shared" si="9"/>
        <v>2098.339882994876</v>
      </c>
      <c r="AL16" s="4">
        <f t="shared" si="10"/>
        <v>24.477553177160498</v>
      </c>
      <c r="AM16" s="5">
        <f t="shared" si="11"/>
        <v>580.78846333878664</v>
      </c>
      <c r="AN16" s="4">
        <f t="shared" si="12"/>
        <v>46.129816149760501</v>
      </c>
      <c r="AO16" s="5">
        <f t="shared" si="13"/>
        <v>2093.2286810014857</v>
      </c>
      <c r="AP16" s="4">
        <f t="shared" si="14"/>
        <v>45.809319585997152</v>
      </c>
      <c r="AQ16" s="5">
        <f t="shared" si="15"/>
        <v>2064.0047993250082</v>
      </c>
      <c r="AZ16" s="52">
        <f>{100;32767;0.0000000001;0.01;FALSE;FALSE;TRUE;1;2;1;0.00000000000000001;TRUE}</f>
        <v>100</v>
      </c>
      <c r="BA16" s="53">
        <f>{100;32767;0.0000000001;0.01;FALSE;FALSE;TRUE;1;2;1;0.00000000000000001;TRUE}</f>
        <v>100</v>
      </c>
    </row>
    <row r="17" spans="6:56">
      <c r="F17">
        <v>928</v>
      </c>
      <c r="I17" s="84"/>
      <c r="Q17" s="84">
        <v>0.40400000000000003</v>
      </c>
      <c r="AB17" s="17" t="e">
        <f t="shared" si="0"/>
        <v>#DIV/0!</v>
      </c>
      <c r="AC17" s="85" t="e">
        <f t="shared" si="1"/>
        <v>#DIV/0!</v>
      </c>
      <c r="AD17" s="17" t="e">
        <f t="shared" si="2"/>
        <v>#DIV/0!</v>
      </c>
      <c r="AE17" s="18" t="e">
        <f t="shared" si="3"/>
        <v>#DIV/0!</v>
      </c>
      <c r="AF17" s="17" t="e">
        <f t="shared" si="4"/>
        <v>#DIV/0!</v>
      </c>
      <c r="AG17" s="85" t="e">
        <f t="shared" si="5"/>
        <v>#DIV/0!</v>
      </c>
      <c r="AH17" s="17">
        <f t="shared" si="6"/>
        <v>0</v>
      </c>
      <c r="AI17" s="85">
        <f t="shared" si="7"/>
        <v>0</v>
      </c>
      <c r="AJ17" s="4">
        <f t="shared" si="8"/>
        <v>45.793615405973668</v>
      </c>
      <c r="AK17" s="5">
        <f t="shared" si="9"/>
        <v>2060.2171867022016</v>
      </c>
      <c r="AL17" s="4">
        <f t="shared" si="10"/>
        <v>21.501709015147579</v>
      </c>
      <c r="AM17" s="5">
        <f t="shared" si="11"/>
        <v>445.11332568783945</v>
      </c>
      <c r="AN17" s="4">
        <f t="shared" si="12"/>
        <v>45.840254126823467</v>
      </c>
      <c r="AO17" s="5">
        <f t="shared" si="13"/>
        <v>2064.4531890772823</v>
      </c>
      <c r="AP17" s="4">
        <f t="shared" si="14"/>
        <v>45.486731495510419</v>
      </c>
      <c r="AQ17" s="5">
        <f t="shared" si="15"/>
        <v>2032.4526790962868</v>
      </c>
      <c r="AZ17" s="54">
        <f>{100;1000000;1;10000;1;FALSE;FALSE;0.075;0;0;FALSE;30}</f>
        <v>100</v>
      </c>
      <c r="BA17" s="55">
        <f>{100;1000000;1;10000;1;FALSE;FALSE;0.5;0;0;FALSE;30}</f>
        <v>100</v>
      </c>
    </row>
    <row r="18" spans="6:56">
      <c r="F18">
        <v>1144</v>
      </c>
      <c r="I18" s="84"/>
      <c r="Q18" s="84">
        <v>0.41799999999999998</v>
      </c>
      <c r="AB18" s="17" t="e">
        <f t="shared" si="0"/>
        <v>#DIV/0!</v>
      </c>
      <c r="AC18" s="18" t="e">
        <f t="shared" si="1"/>
        <v>#DIV/0!</v>
      </c>
      <c r="AD18" s="17" t="e">
        <f t="shared" si="2"/>
        <v>#DIV/0!</v>
      </c>
      <c r="AE18" s="18" t="e">
        <f t="shared" si="3"/>
        <v>#DIV/0!</v>
      </c>
      <c r="AF18" s="17" t="e">
        <f t="shared" si="4"/>
        <v>#DIV/0!</v>
      </c>
      <c r="AG18" s="85" t="e">
        <f t="shared" si="5"/>
        <v>#DIV/0!</v>
      </c>
      <c r="AH18" s="17">
        <f t="shared" si="6"/>
        <v>0</v>
      </c>
      <c r="AI18" s="18">
        <f t="shared" si="7"/>
        <v>0</v>
      </c>
      <c r="AJ18" s="4">
        <f t="shared" si="8"/>
        <v>43.858339593301785</v>
      </c>
      <c r="AK18" s="5">
        <f t="shared" si="9"/>
        <v>1887.0631039813827</v>
      </c>
      <c r="AL18" s="4">
        <f t="shared" si="10"/>
        <v>18.473829172630829</v>
      </c>
      <c r="AM18" s="5">
        <f t="shared" si="11"/>
        <v>326.01296711122649</v>
      </c>
      <c r="AN18" s="4">
        <f t="shared" si="12"/>
        <v>43.990049989247147</v>
      </c>
      <c r="AO18" s="5">
        <f t="shared" si="13"/>
        <v>1898.5235402654523</v>
      </c>
      <c r="AP18" s="4">
        <f t="shared" si="14"/>
        <v>43.863262088510361</v>
      </c>
      <c r="AQ18" s="5">
        <f t="shared" si="15"/>
        <v>1887.4907979393556</v>
      </c>
    </row>
    <row r="19" spans="6:56">
      <c r="F19">
        <v>1420</v>
      </c>
      <c r="I19" s="84"/>
      <c r="Q19" s="84">
        <v>0.42699999999999999</v>
      </c>
      <c r="AB19" s="17" t="e">
        <f t="shared" si="0"/>
        <v>#DIV/0!</v>
      </c>
      <c r="AC19" s="85" t="e">
        <f t="shared" si="1"/>
        <v>#DIV/0!</v>
      </c>
      <c r="AD19" s="17" t="e">
        <f t="shared" si="2"/>
        <v>#DIV/0!</v>
      </c>
      <c r="AE19" s="18" t="e">
        <f t="shared" si="3"/>
        <v>#DIV/0!</v>
      </c>
      <c r="AF19" s="17" t="e">
        <f t="shared" si="4"/>
        <v>#DIV/0!</v>
      </c>
      <c r="AG19" s="85" t="e">
        <f t="shared" si="5"/>
        <v>#DIV/0!</v>
      </c>
      <c r="AH19" s="17">
        <f t="shared" si="6"/>
        <v>0</v>
      </c>
      <c r="AI19" s="85">
        <f t="shared" si="7"/>
        <v>0</v>
      </c>
      <c r="AJ19" s="4">
        <f t="shared" si="8"/>
        <v>40.338581014182992</v>
      </c>
      <c r="AK19" s="5">
        <f t="shared" si="9"/>
        <v>1592.9342990516923</v>
      </c>
      <c r="AL19" s="4">
        <f t="shared" si="10"/>
        <v>15.546991328720328</v>
      </c>
      <c r="AM19" s="5">
        <f t="shared" si="11"/>
        <v>228.61413778057792</v>
      </c>
      <c r="AN19" s="4">
        <f t="shared" si="12"/>
        <v>40.378279132412359</v>
      </c>
      <c r="AO19" s="5">
        <f t="shared" si="13"/>
        <v>1596.1047043159272</v>
      </c>
      <c r="AP19" s="4">
        <f t="shared" si="14"/>
        <v>40.631406483148275</v>
      </c>
      <c r="AQ19" s="5">
        <f t="shared" si="15"/>
        <v>1616.3943006622151</v>
      </c>
    </row>
    <row r="23" spans="6:56">
      <c r="AZ23" s="9" t="s">
        <v>34</v>
      </c>
    </row>
    <row r="25" spans="6:56">
      <c r="AZ25" t="s">
        <v>24</v>
      </c>
      <c r="BA25">
        <v>4.0000000000000003E-5</v>
      </c>
      <c r="BC25" s="23" t="s">
        <v>23</v>
      </c>
      <c r="BD25" s="36">
        <f>1/(BA26+2*SQRT(BA25*BA27))</f>
        <v>30.974835774823852</v>
      </c>
    </row>
    <row r="26" spans="6:56">
      <c r="AZ26" t="s">
        <v>26</v>
      </c>
      <c r="BA26">
        <v>4.0000000000000001E-3</v>
      </c>
      <c r="BC26" s="24" t="s">
        <v>25</v>
      </c>
      <c r="BD26" s="38">
        <f>1/BA27</f>
        <v>0.2</v>
      </c>
    </row>
    <row r="27" spans="6:56">
      <c r="AZ27" t="s">
        <v>35</v>
      </c>
      <c r="BA27">
        <v>5</v>
      </c>
      <c r="BC27" s="24" t="s">
        <v>36</v>
      </c>
      <c r="BD27" s="69">
        <f>IF(BA25=0,"∞",IF(BA27=0,"∞",BA26/SQRT(BA25*BA27)))</f>
        <v>0.28284271247461901</v>
      </c>
    </row>
    <row r="28" spans="6:56">
      <c r="BC28" s="24" t="s">
        <v>28</v>
      </c>
      <c r="BD28" s="69">
        <f>IF(BA25=0,"∞",SQRT(BA27/BA25))</f>
        <v>353.55339059327372</v>
      </c>
    </row>
    <row r="29" spans="6:56">
      <c r="AZ29" s="6" t="s">
        <v>19</v>
      </c>
      <c r="BA29" s="42">
        <f>SUM(AM:AM)</f>
        <v>6970.95542573898</v>
      </c>
      <c r="BC29" s="24" t="s">
        <v>29</v>
      </c>
      <c r="BD29" s="38">
        <f>BA27/(BA26+2*SQRT(BA25*BA27))</f>
        <v>154.87417887411925</v>
      </c>
    </row>
    <row r="30" spans="6:56">
      <c r="BC30" s="27" t="s">
        <v>27</v>
      </c>
      <c r="BD30" s="70">
        <f>1/(BA25*BD33^2+BA26*BD33+BA27)-(BD33*(2*BA25*BD33+BA26))/(BA25*BD33^2+BA26*BD33+BA27)^2</f>
        <v>0.19636870401686415</v>
      </c>
    </row>
    <row r="31" spans="6:56">
      <c r="AZ31" s="45" t="s">
        <v>31</v>
      </c>
      <c r="BA31" s="46" t="s">
        <v>37</v>
      </c>
      <c r="BC31" s="26" t="s">
        <v>38</v>
      </c>
      <c r="BD31" s="38">
        <f>IF(BD27="∞",BD25,IF(BD27=0,"∞",BD25/(BD27/(BD27+2))))</f>
        <v>250</v>
      </c>
    </row>
    <row r="32" spans="6:56">
      <c r="AZ32" s="50">
        <f>MIN($BA$29)</f>
        <v>6970.95542573898</v>
      </c>
      <c r="BA32" s="57">
        <f>MIN($BD$30)</f>
        <v>0.19636870401686415</v>
      </c>
      <c r="BC32" s="27" t="s">
        <v>39</v>
      </c>
      <c r="BD32" s="71">
        <f>-1/(BD27^2)</f>
        <v>-12.5</v>
      </c>
    </row>
    <row r="33" spans="51:58">
      <c r="AZ33" s="52">
        <f>COUNT($BA$25:$BA$27)</f>
        <v>3</v>
      </c>
      <c r="BA33" s="52">
        <f>COUNT($BD$33)</f>
        <v>1</v>
      </c>
      <c r="BC33" s="28" t="s">
        <v>40</v>
      </c>
      <c r="BD33" s="72">
        <v>10</v>
      </c>
    </row>
    <row r="34" spans="51:58">
      <c r="AZ34" s="52">
        <f>{100;10000;0.0000000001;0.01;FALSE;FALSE;TRUE;1;1;1;0.0000000001;FALSE}</f>
        <v>100</v>
      </c>
      <c r="BA34" s="52" t="b">
        <f>$BD$33&gt;=$BD$28</f>
        <v>0</v>
      </c>
    </row>
    <row r="35" spans="51:58">
      <c r="AZ35" s="54">
        <f>{100;10000;1;1000;0;FALSE;FALSE;0.075;0;0;FALSE;30}</f>
        <v>100</v>
      </c>
      <c r="BA35" s="52">
        <f>{100;10000;0.0000000001;0.01;FALSE;FALSE;TRUE;1;1;1;0.0000000001;FALSE}</f>
        <v>100</v>
      </c>
    </row>
    <row r="36" spans="51:58">
      <c r="BA36" s="58">
        <f>{100;10000;1;100;0;FALSE;FALSE;0.075;0;0;FALSE;30}</f>
        <v>100</v>
      </c>
    </row>
    <row r="41" spans="51:58">
      <c r="AZ41" s="126" t="s">
        <v>41</v>
      </c>
      <c r="BA41" s="126"/>
    </row>
    <row r="42" spans="51:58">
      <c r="AY42" s="11"/>
      <c r="BE42" s="74" t="s">
        <v>42</v>
      </c>
      <c r="BF42" s="11"/>
    </row>
    <row r="43" spans="51:58">
      <c r="AY43" s="12"/>
      <c r="AZ43" t="s">
        <v>24</v>
      </c>
      <c r="BA43">
        <v>65.690211100614135</v>
      </c>
      <c r="BC43" s="23" t="s">
        <v>23</v>
      </c>
      <c r="BD43" s="36">
        <f>BA43*(1-EXP(-BA44/BA43*BD46)) + BA45*BD46</f>
        <v>46.194814085395308</v>
      </c>
      <c r="BE43" s="75">
        <f>BA43*(1-EXP(-BA44*BE46/BA43)) + BA45*BE46</f>
        <v>1.8016384481311523</v>
      </c>
      <c r="BF43" s="12"/>
    </row>
    <row r="44" spans="51:58">
      <c r="AY44" s="13"/>
      <c r="AZ44" t="s">
        <v>26</v>
      </c>
      <c r="BA44">
        <v>0.20040746548949206</v>
      </c>
      <c r="BC44" s="24" t="s">
        <v>25</v>
      </c>
      <c r="BD44" s="38">
        <f>BA44</f>
        <v>0.20040746548949206</v>
      </c>
      <c r="BE44" s="38">
        <f>BA44</f>
        <v>0.20040746548949206</v>
      </c>
      <c r="BF44" s="13"/>
    </row>
    <row r="45" spans="51:58">
      <c r="AY45" s="13"/>
      <c r="AZ45" t="s">
        <v>35</v>
      </c>
      <c r="BA45">
        <v>-1.7217460785775792E-2</v>
      </c>
      <c r="BC45" s="24" t="s">
        <v>27</v>
      </c>
      <c r="BD45" s="69">
        <f>BA45</f>
        <v>-1.7217460785775792E-2</v>
      </c>
      <c r="BE45" s="38">
        <f>BA45</f>
        <v>-1.7217460785775792E-2</v>
      </c>
      <c r="BF45" s="13"/>
    </row>
    <row r="46" spans="51:58">
      <c r="AY46" s="13"/>
      <c r="BC46" s="24" t="s">
        <v>28</v>
      </c>
      <c r="BD46" s="69">
        <f>-(BA43*LN(-BA45/BA44))/BA44</f>
        <v>804.52058936195931</v>
      </c>
      <c r="BE46" s="77">
        <v>10</v>
      </c>
      <c r="BF46" s="13"/>
    </row>
    <row r="47" spans="51:58">
      <c r="AY47" s="14"/>
      <c r="AZ47" s="6" t="s">
        <v>19</v>
      </c>
      <c r="BA47" s="42">
        <f>SUM(AO:AO)</f>
        <v>14880.661651862314</v>
      </c>
      <c r="BC47" s="24" t="s">
        <v>29</v>
      </c>
      <c r="BD47" s="38">
        <f>BD43/BD44</f>
        <v>230.50445736921628</v>
      </c>
      <c r="BE47" s="76">
        <f>BE43/BE44</f>
        <v>8.9898769176621176</v>
      </c>
      <c r="BF47" s="14"/>
    </row>
    <row r="48" spans="51:58">
      <c r="AY48" s="13"/>
      <c r="BC48" s="28" t="s">
        <v>30</v>
      </c>
      <c r="BD48" s="73">
        <f>BA43</f>
        <v>65.690211100614135</v>
      </c>
      <c r="BE48" s="73">
        <f>BA43</f>
        <v>65.690211100614135</v>
      </c>
      <c r="BF48" s="13"/>
    </row>
    <row r="49" spans="46:56">
      <c r="AZ49" s="47" t="s">
        <v>31</v>
      </c>
      <c r="BA49" s="10"/>
      <c r="BC49" s="11"/>
      <c r="BD49" s="29"/>
    </row>
    <row r="50" spans="46:56">
      <c r="AZ50" s="59">
        <f>MIN(BA47)</f>
        <v>14880.661651862314</v>
      </c>
      <c r="BA50" s="129" t="s">
        <v>43</v>
      </c>
      <c r="BB50" s="130"/>
      <c r="BC50" s="11"/>
      <c r="BD50" s="6"/>
    </row>
    <row r="51" spans="46:56">
      <c r="AZ51" s="60">
        <f>COUNT(BA43:BA45)</f>
        <v>3</v>
      </c>
      <c r="BA51" s="62">
        <f>MIN(BE46)</f>
        <v>10</v>
      </c>
      <c r="BB51" s="63">
        <f>COUNT(BE46)</f>
        <v>1</v>
      </c>
    </row>
    <row r="52" spans="46:56">
      <c r="AZ52" s="60">
        <f>{100;10000;0.0000000001;0.01;FALSE;FALSE;TRUE;1;1;1;0.0000000001;FALSE}</f>
        <v>100</v>
      </c>
      <c r="BA52" s="60" t="b">
        <f>BE43=BE48</f>
        <v>0</v>
      </c>
      <c r="BB52" s="63" t="b">
        <f>BE46&gt;=0</f>
        <v>1</v>
      </c>
    </row>
    <row r="53" spans="46:56">
      <c r="AZ53" s="61">
        <f>{100;10000;1;100;0;FALSE;FALSE;0.075;0;0;FALSE;30}</f>
        <v>100</v>
      </c>
      <c r="BA53" s="61">
        <f>{100;10000;0.000000000001;0.01;FALSE;FALSE;TRUE;1;2;1;0.000000001;TRUE}</f>
        <v>100</v>
      </c>
      <c r="BB53" s="64">
        <f>{100;10000;1;100;0;FALSE;FALSE;0.075;0;0;FALSE;30}</f>
        <v>100</v>
      </c>
    </row>
    <row r="59" spans="46:56">
      <c r="AZ59" s="9" t="s">
        <v>44</v>
      </c>
    </row>
    <row r="61" spans="46:56">
      <c r="AZ61" t="s">
        <v>24</v>
      </c>
      <c r="BA61">
        <v>0.1556100019455306</v>
      </c>
      <c r="BC61" s="30" t="s">
        <v>23</v>
      </c>
      <c r="BD61" s="36">
        <f>(BA61*BD65/SQRT(1+(BA62^2)*(BD65^2)))*(1/SQRT(1+(BA63^2)*(BD65^2)))^BA64</f>
        <v>43.130305966327022</v>
      </c>
    </row>
    <row r="62" spans="46:56">
      <c r="AZ62" t="s">
        <v>26</v>
      </c>
      <c r="BA62">
        <v>2.8635364620113938E-3</v>
      </c>
      <c r="BC62" s="32" t="s">
        <v>25</v>
      </c>
      <c r="BD62" s="37">
        <f>BA61</f>
        <v>0.1556100019455306</v>
      </c>
    </row>
    <row r="63" spans="46:56">
      <c r="AT63">
        <v>0</v>
      </c>
      <c r="AZ63" t="s">
        <v>35</v>
      </c>
      <c r="BA63">
        <v>-1.5807481891284244E-5</v>
      </c>
      <c r="BC63" s="32" t="s">
        <v>27</v>
      </c>
      <c r="BD63" s="37">
        <f>-(BA61*(BA63^2*BD66^2+1)^(-BA64/2-1)*(BA63^2*BD66^2*(BA62^2*BA64*BD66^2+BA64-1)-1))/(BA62^2*BD66^2+1)^(3/2)</f>
        <v>0.15541275233673782</v>
      </c>
    </row>
    <row r="64" spans="46:56">
      <c r="AZ64" t="s">
        <v>45</v>
      </c>
      <c r="BA64">
        <v>1037.8418830449264</v>
      </c>
      <c r="BC64" s="32" t="s">
        <v>29</v>
      </c>
      <c r="BD64" s="38">
        <f>BD61/BD62</f>
        <v>277.16923994014388</v>
      </c>
    </row>
    <row r="65" spans="52:56">
      <c r="BC65" s="34" t="s">
        <v>28</v>
      </c>
      <c r="BD65" s="40">
        <v>500</v>
      </c>
    </row>
    <row r="66" spans="52:56">
      <c r="AZ66" s="6" t="s">
        <v>19</v>
      </c>
      <c r="BA66" s="42">
        <f>SUM(AQ:AQ)</f>
        <v>14899.116624048695</v>
      </c>
      <c r="BC66" s="34" t="s">
        <v>62</v>
      </c>
      <c r="BD66" s="40">
        <v>10</v>
      </c>
    </row>
    <row r="67" spans="52:56">
      <c r="BC67" s="35" t="s">
        <v>46</v>
      </c>
      <c r="BD67" s="39">
        <f>-(BA61*(BA63^2*BD65^2+1)^(-BA64/2-1)*(BA63^2*BD65^2*(BA62^2*BA64*BD65^2+BA64-1)-1))/(BA62^2*BD65^2+1)^(3/2)</f>
        <v>2.2690345325049006E-2</v>
      </c>
    </row>
    <row r="68" spans="52:56">
      <c r="AZ68" s="45" t="s">
        <v>31</v>
      </c>
      <c r="BA68" s="48" t="s">
        <v>43</v>
      </c>
      <c r="BB68" s="49" t="s">
        <v>47</v>
      </c>
      <c r="BC68" s="11"/>
      <c r="BD68" s="29"/>
    </row>
    <row r="69" spans="52:56">
      <c r="AZ69" s="50">
        <f>MIN($BA$66)</f>
        <v>14899.116624048695</v>
      </c>
      <c r="BA69" s="65" t="b">
        <f>$BD$67=0</f>
        <v>0</v>
      </c>
      <c r="BB69" s="66">
        <f>MIN($BD$63)</f>
        <v>0.15541275233673782</v>
      </c>
      <c r="BC69" s="11"/>
      <c r="BD69" s="6"/>
    </row>
    <row r="70" spans="52:56">
      <c r="AZ70" s="52">
        <f>COUNT($BA$61:$BA$64)</f>
        <v>4</v>
      </c>
      <c r="BA70" s="67">
        <f>COUNT($BD$65)</f>
        <v>1</v>
      </c>
      <c r="BB70" s="67">
        <f>COUNT($BD$66)</f>
        <v>1</v>
      </c>
    </row>
    <row r="71" spans="52:56">
      <c r="AZ71" s="52" t="b">
        <f>$BA$63&lt;=0</f>
        <v>1</v>
      </c>
      <c r="BA71" s="67" t="b">
        <f>$BD$65&gt;=0</f>
        <v>1</v>
      </c>
      <c r="BB71" s="67" t="b">
        <f>$BD$66&gt;=$BD$65</f>
        <v>0</v>
      </c>
    </row>
    <row r="72" spans="52:56">
      <c r="AZ72" s="52">
        <f>{100;10000;0.000000001;0.01;FALSE;FALSE;TRUE;1;1;1;0.000000001;FALSE}</f>
        <v>100</v>
      </c>
      <c r="BA72" s="67">
        <f>{100;32767;0.00000000001;0.01;FALSE;FALSE;TRUE;1;2;1;0.000000001;FALSE}</f>
        <v>100</v>
      </c>
      <c r="BB72" s="67">
        <f>{100;32767;0.000000000001;0.01;FALSE;FALSE;TRUE;1;2;1;0.000000000001;FALSE}</f>
        <v>100</v>
      </c>
    </row>
    <row r="73" spans="52:56">
      <c r="AZ73" s="58">
        <f>{100;10000;1;100;0;FALSE;FALSE;0.075;0;0;FALSE;30}</f>
        <v>100</v>
      </c>
      <c r="BA73" s="68">
        <f>{100;100000;1;100;0;FALSE;FALSE;0.075;0;0;FALSE;30}</f>
        <v>100</v>
      </c>
      <c r="BB73" s="68">
        <f>{100;100000;1;100;0;FALSE;FALSE;0.075;0;0;FALSE;30}</f>
        <v>100</v>
      </c>
    </row>
  </sheetData>
  <mergeCells count="14">
    <mergeCell ref="AP2:AQ2"/>
    <mergeCell ref="AZ5:BA5"/>
    <mergeCell ref="AZ41:BA41"/>
    <mergeCell ref="BA50:BB50"/>
    <mergeCell ref="AB1:AI1"/>
    <mergeCell ref="AJ1:AQ1"/>
    <mergeCell ref="AZ1:BE1"/>
    <mergeCell ref="AB2:AC2"/>
    <mergeCell ref="AD2:AE2"/>
    <mergeCell ref="AF2:AG2"/>
    <mergeCell ref="AH2:AI2"/>
    <mergeCell ref="AJ2:AK2"/>
    <mergeCell ref="AL2:AM2"/>
    <mergeCell ref="AN2:AO2"/>
  </mergeCells>
  <conditionalFormatting sqref="AZ69:AZ7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21</vt:i4>
      </vt:variant>
    </vt:vector>
  </HeadingPairs>
  <TitlesOfParts>
    <vt:vector size="42" baseType="lpstr">
      <vt:lpstr>20260129_01_mais.csv</vt:lpstr>
      <vt:lpstr>20260129_02_ackerbohne.csv</vt:lpstr>
      <vt:lpstr>20260129_03_weizen.csv</vt:lpstr>
      <vt:lpstr>20260129_04_weizen.csv</vt:lpstr>
      <vt:lpstr>20260129_05_ackerbohne.csv</vt:lpstr>
      <vt:lpstr>20260130_02_weizen.csv</vt:lpstr>
      <vt:lpstr>20260130_03_mais.csv</vt:lpstr>
      <vt:lpstr>20260130_04_efeutute.csv</vt:lpstr>
      <vt:lpstr>20260130_05_ackerbohne.csv</vt:lpstr>
      <vt:lpstr>20260201_01_tomate.csv</vt:lpstr>
      <vt:lpstr>20260201_02_weizen.csv</vt:lpstr>
      <vt:lpstr>20260201_03_mais.csv</vt:lpstr>
      <vt:lpstr>20260201_05_mais.csv</vt:lpstr>
      <vt:lpstr>20260201_06_tomate.csv</vt:lpstr>
      <vt:lpstr>20260201_07_tomate.csv</vt:lpstr>
      <vt:lpstr>20260201_08_tomate.csv</vt:lpstr>
      <vt:lpstr>20260201_09_tomate.csv</vt:lpstr>
      <vt:lpstr>20260201_10_tomate.csv</vt:lpstr>
      <vt:lpstr>20260201_13_tomate.csv</vt:lpstr>
      <vt:lpstr>20260201_mais.csv</vt:lpstr>
      <vt:lpstr>20231123_02.csv (9)</vt:lpstr>
      <vt:lpstr>'20231123_02.csv (9)'!F2B1DKLK2</vt:lpstr>
      <vt:lpstr>'20260129_01_mais.csv'!F2B1DKLK2</vt:lpstr>
      <vt:lpstr>'20260129_02_ackerbohne.csv'!F2B1DKLK2</vt:lpstr>
      <vt:lpstr>'20260129_03_weizen.csv'!F2B1DKLK2</vt:lpstr>
      <vt:lpstr>'20260129_04_weizen.csv'!F2B1DKLK2</vt:lpstr>
      <vt:lpstr>'20260129_05_ackerbohne.csv'!F2B1DKLK2</vt:lpstr>
      <vt:lpstr>'20260130_02_weizen.csv'!F2B1DKLK2</vt:lpstr>
      <vt:lpstr>'20260130_03_mais.csv'!F2B1DKLK2</vt:lpstr>
      <vt:lpstr>'20260130_04_efeutute.csv'!F2B1DKLK2</vt:lpstr>
      <vt:lpstr>'20260130_05_ackerbohne.csv'!F2B1DKLK2</vt:lpstr>
      <vt:lpstr>'20260201_01_tomate.csv'!F2B1DKLK2</vt:lpstr>
      <vt:lpstr>'20260201_02_weizen.csv'!F2B1DKLK2</vt:lpstr>
      <vt:lpstr>'20260201_03_mais.csv'!F2B1DKLK2</vt:lpstr>
      <vt:lpstr>'20260201_05_mais.csv'!F2B1DKLK2</vt:lpstr>
      <vt:lpstr>'20260201_06_tomate.csv'!F2B1DKLK2</vt:lpstr>
      <vt:lpstr>'20260201_07_tomate.csv'!F2B1DKLK2</vt:lpstr>
      <vt:lpstr>'20260201_08_tomate.csv'!F2B1DKLK2</vt:lpstr>
      <vt:lpstr>'20260201_09_tomate.csv'!F2B1DKLK2</vt:lpstr>
      <vt:lpstr>'20260201_10_tomate.csv'!F2B1DKLK2</vt:lpstr>
      <vt:lpstr>'20260201_13_tomate.csv'!F2B1DKLK2</vt:lpstr>
      <vt:lpstr>'20260201_mais.csv'!F2B1DKLK2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Julien Böhm</cp:lastModifiedBy>
  <dcterms:created xsi:type="dcterms:W3CDTF">2018-05-08T11:38:32Z</dcterms:created>
  <dcterms:modified xsi:type="dcterms:W3CDTF">2026-02-04T15:41:11Z</dcterms:modified>
</cp:coreProperties>
</file>